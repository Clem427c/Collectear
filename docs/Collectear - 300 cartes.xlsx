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des cartes" sheetId="1" state="visible" r:id="rId3"/>
    <sheet name="Règles" sheetId="2" state="visible" r:id="rId4"/>
    <sheet name="Synthèse" sheetId="3" state="visible" r:id="rId5"/>
    <sheet name="Car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Valeur utilisée lors de la génération des colonnes « Variation » ; la modifier ici ne régénère pas ces colonnes.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Colonnes J à M : paramètres de génération de chaque carte (parts du budget et variation). Les stats en découlent.</t>
        </r>
      </text>
    </comment>
  </commentList>
</comments>
</file>

<file path=xl/sharedStrings.xml><?xml version="1.0" encoding="utf-8"?>
<sst xmlns="http://schemas.openxmlformats.org/spreadsheetml/2006/main" count="2471" uniqueCount="357">
  <si>
    <t xml:space="preserve">N°</t>
  </si>
  <si>
    <t xml:space="preserve">Nom</t>
  </si>
  <si>
    <t xml:space="preserve">Famille</t>
  </si>
  <si>
    <t xml:space="preserve">Rareté</t>
  </si>
  <si>
    <t xml:space="preserve">PV</t>
  </si>
  <si>
    <t xml:space="preserve">ATQ</t>
  </si>
  <si>
    <t xml:space="preserve">DEF</t>
  </si>
  <si>
    <t xml:space="preserve">Boost compagnon</t>
  </si>
  <si>
    <t xml:space="preserve">Abyssiel</t>
  </si>
  <si>
    <t xml:space="preserve">Créature</t>
  </si>
  <si>
    <t xml:space="preserve">Légendaire</t>
  </si>
  <si>
    <t xml:space="preserve">Résistance</t>
  </si>
  <si>
    <t xml:space="preserve">Astrelune</t>
  </si>
  <si>
    <t xml:space="preserve">Temps</t>
  </si>
  <si>
    <t xml:space="preserve">Chronoptère</t>
  </si>
  <si>
    <t xml:space="preserve">Glacivore</t>
  </si>
  <si>
    <t xml:space="preserve">Dégâts</t>
  </si>
  <si>
    <t xml:space="preserve">Néantor</t>
  </si>
  <si>
    <t xml:space="preserve">Sylvarche</t>
  </si>
  <si>
    <t xml:space="preserve">Tempestor</t>
  </si>
  <si>
    <t xml:space="preserve">Vitesse</t>
  </si>
  <si>
    <t xml:space="preserve">Volcarion</t>
  </si>
  <si>
    <t xml:space="preserve">Aurèle l'Immortelle</t>
  </si>
  <si>
    <t xml:space="preserve">Héros</t>
  </si>
  <si>
    <t xml:space="preserve">Kaelith, Gardien des Seuils</t>
  </si>
  <si>
    <t xml:space="preserve">Sélénor le Dernier Mage</t>
  </si>
  <si>
    <t xml:space="preserve">Ysolde Brise-Étoiles</t>
  </si>
  <si>
    <t xml:space="preserve">Aquilarc</t>
  </si>
  <si>
    <t xml:space="preserve">Épique</t>
  </si>
  <si>
    <t xml:space="preserve">Basaltor</t>
  </si>
  <si>
    <t xml:space="preserve">Cendrolithe</t>
  </si>
  <si>
    <t xml:space="preserve">Cristalame</t>
  </si>
  <si>
    <t xml:space="preserve">Fulgurion</t>
  </si>
  <si>
    <t xml:space="preserve">Givrespectre</t>
  </si>
  <si>
    <t xml:space="preserve">Hydromance</t>
  </si>
  <si>
    <t xml:space="preserve">Marévore</t>
  </si>
  <si>
    <t xml:space="preserve">Mirelune</t>
  </si>
  <si>
    <t xml:space="preserve">Noctifère</t>
  </si>
  <si>
    <t xml:space="preserve">Orageon</t>
  </si>
  <si>
    <t xml:space="preserve">Pyralis</t>
  </si>
  <si>
    <t xml:space="preserve">Ronceroi</t>
  </si>
  <si>
    <t xml:space="preserve">Sabrecorne</t>
  </si>
  <si>
    <t xml:space="preserve">Solsticien</t>
  </si>
  <si>
    <t xml:space="preserve">Sépulcrin</t>
  </si>
  <si>
    <t xml:space="preserve">Vortexis</t>
  </si>
  <si>
    <t xml:space="preserve">Émeraudon</t>
  </si>
  <si>
    <t xml:space="preserve">Bram Cœur-de-Fer</t>
  </si>
  <si>
    <t xml:space="preserve">Calixte le Chevalier Errant</t>
  </si>
  <si>
    <t xml:space="preserve">Doran le Briseur de Rocs</t>
  </si>
  <si>
    <t xml:space="preserve">Isaure la Prêtresse des Marées</t>
  </si>
  <si>
    <t xml:space="preserve">Liora la Tisseuse d'Orage</t>
  </si>
  <si>
    <t xml:space="preserve">Maëlis l'Archère d'Argent</t>
  </si>
  <si>
    <t xml:space="preserve">Nahia la Dompteuse de Bêtes</t>
  </si>
  <si>
    <t xml:space="preserve">Oren le Chasseur d'Ombres</t>
  </si>
  <si>
    <t xml:space="preserve">Thaïs, Lame d'Aube</t>
  </si>
  <si>
    <t xml:space="preserve">Vesper le Voleur de Lunes</t>
  </si>
  <si>
    <t xml:space="preserve">Belettix</t>
  </si>
  <si>
    <t xml:space="preserve">Rare</t>
  </si>
  <si>
    <t xml:space="preserve">Cendrix</t>
  </si>
  <si>
    <t xml:space="preserve">Coquillorn</t>
  </si>
  <si>
    <t xml:space="preserve">Crabborn</t>
  </si>
  <si>
    <t xml:space="preserve">Cristalloros</t>
  </si>
  <si>
    <t xml:space="preserve">Crocorn</t>
  </si>
  <si>
    <t xml:space="preserve">Dunorn</t>
  </si>
  <si>
    <t xml:space="preserve">Geckix</t>
  </si>
  <si>
    <t xml:space="preserve">Givroros</t>
  </si>
  <si>
    <t xml:space="preserve">Glandanthe</t>
  </si>
  <si>
    <t xml:space="preserve">Grelidor</t>
  </si>
  <si>
    <t xml:space="preserve">Guêpaxe</t>
  </si>
  <si>
    <t xml:space="preserve">Libellidor</t>
  </si>
  <si>
    <t xml:space="preserve">Lichidor</t>
  </si>
  <si>
    <t xml:space="preserve">Loutrorn</t>
  </si>
  <si>
    <t xml:space="preserve">Lunidor</t>
  </si>
  <si>
    <t xml:space="preserve">Lézaxe</t>
  </si>
  <si>
    <t xml:space="preserve">Marrix</t>
  </si>
  <si>
    <t xml:space="preserve">Moussaxe</t>
  </si>
  <si>
    <t xml:space="preserve">Mulanthe</t>
  </si>
  <si>
    <t xml:space="preserve">Myrtix</t>
  </si>
  <si>
    <t xml:space="preserve">Ombrix</t>
  </si>
  <si>
    <t xml:space="preserve">Pinsorn</t>
  </si>
  <si>
    <t xml:space="preserve">Quartzanthe</t>
  </si>
  <si>
    <t xml:space="preserve">Rouillorn</t>
  </si>
  <si>
    <t xml:space="preserve">Sanglidor</t>
  </si>
  <si>
    <t xml:space="preserve">Saphanthe</t>
  </si>
  <si>
    <t xml:space="preserve">Saulaxe</t>
  </si>
  <si>
    <t xml:space="preserve">Tonnidor</t>
  </si>
  <si>
    <t xml:space="preserve">Torrorn</t>
  </si>
  <si>
    <t xml:space="preserve">Tourbix</t>
  </si>
  <si>
    <t xml:space="preserve">Ventidor</t>
  </si>
  <si>
    <t xml:space="preserve">Écaillorn</t>
  </si>
  <si>
    <t xml:space="preserve">Épinorn</t>
  </si>
  <si>
    <t xml:space="preserve">Alba la Gardienne des Ruines</t>
  </si>
  <si>
    <t xml:space="preserve">Anouk la Gardienne des Ruines</t>
  </si>
  <si>
    <t xml:space="preserve">Basile le Maître-Lame</t>
  </si>
  <si>
    <t xml:space="preserve">Cyprien le Paladin</t>
  </si>
  <si>
    <t xml:space="preserve">Dalia la Mage des Cendres</t>
  </si>
  <si>
    <t xml:space="preserve">Edmond l'Arcaniste</t>
  </si>
  <si>
    <t xml:space="preserve">Elna la Chasseuse de Primes</t>
  </si>
  <si>
    <t xml:space="preserve">Ewen le Maître-Lame</t>
  </si>
  <si>
    <t xml:space="preserve">Félix le Mage des Cendres</t>
  </si>
  <si>
    <t xml:space="preserve">Jory le Druide</t>
  </si>
  <si>
    <t xml:space="preserve">Rhéa l'Arcaniste</t>
  </si>
  <si>
    <t xml:space="preserve">Sacha le Chevaucheur de Wyverne</t>
  </si>
  <si>
    <t xml:space="preserve">Sienne la Chasseuse de Primes</t>
  </si>
  <si>
    <t xml:space="preserve">Théo le Chevaucheur de Wyverne</t>
  </si>
  <si>
    <t xml:space="preserve">Wilhelm le Druide</t>
  </si>
  <si>
    <t xml:space="preserve">Zoé la Paladine</t>
  </si>
  <si>
    <t xml:space="preserve">Abeillard</t>
  </si>
  <si>
    <t xml:space="preserve">Peu commune</t>
  </si>
  <si>
    <t xml:space="preserve">Belettard</t>
  </si>
  <si>
    <t xml:space="preserve">Blairard</t>
  </si>
  <si>
    <t xml:space="preserve">Brumouille</t>
  </si>
  <si>
    <t xml:space="preserve">Bulbille</t>
  </si>
  <si>
    <t xml:space="preserve">Cervouille</t>
  </si>
  <si>
    <t xml:space="preserve">Corbaud</t>
  </si>
  <si>
    <t xml:space="preserve">Crabbouille</t>
  </si>
  <si>
    <t xml:space="preserve">Crapard</t>
  </si>
  <si>
    <t xml:space="preserve">Cristallaud</t>
  </si>
  <si>
    <t xml:space="preserve">Crocouille</t>
  </si>
  <si>
    <t xml:space="preserve">Dunouille</t>
  </si>
  <si>
    <t xml:space="preserve">Fangaud</t>
  </si>
  <si>
    <t xml:space="preserve">Fourmouille</t>
  </si>
  <si>
    <t xml:space="preserve">Frelerin</t>
  </si>
  <si>
    <t xml:space="preserve">Geckille</t>
  </si>
  <si>
    <t xml:space="preserve">Givrouille</t>
  </si>
  <si>
    <t xml:space="preserve">Glacouille</t>
  </si>
  <si>
    <t xml:space="preserve">Glandard</t>
  </si>
  <si>
    <t xml:space="preserve">Grelerin</t>
  </si>
  <si>
    <t xml:space="preserve">Grenouillaud</t>
  </si>
  <si>
    <t xml:space="preserve">Grifferon</t>
  </si>
  <si>
    <t xml:space="preserve">Guêpouille</t>
  </si>
  <si>
    <t xml:space="preserve">Hibard</t>
  </si>
  <si>
    <t xml:space="preserve">Jaspille</t>
  </si>
  <si>
    <t xml:space="preserve">Lierreron</t>
  </si>
  <si>
    <t xml:space="preserve">Lunard</t>
  </si>
  <si>
    <t xml:space="preserve">Lynxard</t>
  </si>
  <si>
    <t xml:space="preserve">Lézouille</t>
  </si>
  <si>
    <t xml:space="preserve">Marrille</t>
  </si>
  <si>
    <t xml:space="preserve">Moussille</t>
  </si>
  <si>
    <t xml:space="preserve">Myrtouille</t>
  </si>
  <si>
    <t xml:space="preserve">Mésard</t>
  </si>
  <si>
    <t xml:space="preserve">Nacraud</t>
  </si>
  <si>
    <t xml:space="preserve">Noiserin</t>
  </si>
  <si>
    <t xml:space="preserve">Ombreron</t>
  </si>
  <si>
    <t xml:space="preserve">Opalille</t>
  </si>
  <si>
    <t xml:space="preserve">Papillerin</t>
  </si>
  <si>
    <t xml:space="preserve">Pieuvreron</t>
  </si>
  <si>
    <t xml:space="preserve">Pinserin</t>
  </si>
  <si>
    <t xml:space="preserve">Pommille</t>
  </si>
  <si>
    <t xml:space="preserve">Pétalerin</t>
  </si>
  <si>
    <t xml:space="preserve">Quartzard</t>
  </si>
  <si>
    <t xml:space="preserve">Rascaud</t>
  </si>
  <si>
    <t xml:space="preserve">Rochaud</t>
  </si>
  <si>
    <t xml:space="preserve">Rouilleron</t>
  </si>
  <si>
    <t xml:space="preserve">Sableron</t>
  </si>
  <si>
    <t xml:space="preserve">Salamouille</t>
  </si>
  <si>
    <t xml:space="preserve">Sangleron</t>
  </si>
  <si>
    <t xml:space="preserve">Saphouille</t>
  </si>
  <si>
    <t xml:space="preserve">Saulard</t>
  </si>
  <si>
    <t xml:space="preserve">Souffrard</t>
  </si>
  <si>
    <t xml:space="preserve">Taupaud</t>
  </si>
  <si>
    <t xml:space="preserve">Tonneron</t>
  </si>
  <si>
    <t xml:space="preserve">Tourbard</t>
  </si>
  <si>
    <t xml:space="preserve">Tremblouille</t>
  </si>
  <si>
    <t xml:space="preserve">Triteron</t>
  </si>
  <si>
    <t xml:space="preserve">Têterin</t>
  </si>
  <si>
    <t xml:space="preserve">Venterin</t>
  </si>
  <si>
    <t xml:space="preserve">Épineron</t>
  </si>
  <si>
    <t xml:space="preserve">Achille l'Alchimiste</t>
  </si>
  <si>
    <t xml:space="preserve">Barnabé le Rôdeur</t>
  </si>
  <si>
    <t xml:space="preserve">Bérénice la Rôdeuse</t>
  </si>
  <si>
    <t xml:space="preserve">Doria la Corsaire</t>
  </si>
  <si>
    <t xml:space="preserve">Elio le Corsaire</t>
  </si>
  <si>
    <t xml:space="preserve">Elsa la Moniale</t>
  </si>
  <si>
    <t xml:space="preserve">Faye la Barde</t>
  </si>
  <si>
    <t xml:space="preserve">Flora la Mercenaire</t>
  </si>
  <si>
    <t xml:space="preserve">Hector le Barde</t>
  </si>
  <si>
    <t xml:space="preserve">Hortense la Duelliste</t>
  </si>
  <si>
    <t xml:space="preserve">Hélia la Pisteuse</t>
  </si>
  <si>
    <t xml:space="preserve">Ilan le Moine</t>
  </si>
  <si>
    <t xml:space="preserve">Joachim le Pisteur</t>
  </si>
  <si>
    <t xml:space="preserve">Jouna la Mercenaire</t>
  </si>
  <si>
    <t xml:space="preserve">Kaël le Rôdeur</t>
  </si>
  <si>
    <t xml:space="preserve">Lino le Moine</t>
  </si>
  <si>
    <t xml:space="preserve">Léandre le Duelliste</t>
  </si>
  <si>
    <t xml:space="preserve">Marius le Mercenaire</t>
  </si>
  <si>
    <t xml:space="preserve">Ondine la Mercenaire</t>
  </si>
  <si>
    <t xml:space="preserve">Oscar le Corsaire</t>
  </si>
  <si>
    <t xml:space="preserve">Pacôme le Barde</t>
  </si>
  <si>
    <t xml:space="preserve">Raphaël l'Alchimiste</t>
  </si>
  <si>
    <t xml:space="preserve">Rosa l'Alchimiste</t>
  </si>
  <si>
    <t xml:space="preserve">Rémi l'Alchimiste</t>
  </si>
  <si>
    <t xml:space="preserve">Silas le Pisteur</t>
  </si>
  <si>
    <t xml:space="preserve">Tessa la Pisteuse</t>
  </si>
  <si>
    <t xml:space="preserve">Tobias le Moine</t>
  </si>
  <si>
    <t xml:space="preserve">Uma la Rôdeuse</t>
  </si>
  <si>
    <t xml:space="preserve">Yanis le Duelliste</t>
  </si>
  <si>
    <t xml:space="preserve">Zélie la Duelliste</t>
  </si>
  <si>
    <t xml:space="preserve">Abeillou</t>
  </si>
  <si>
    <t xml:space="preserve">Commune</t>
  </si>
  <si>
    <t xml:space="preserve">Ambrinou</t>
  </si>
  <si>
    <t xml:space="preserve">Belettiot</t>
  </si>
  <si>
    <t xml:space="preserve">Blairichon</t>
  </si>
  <si>
    <t xml:space="preserve">Braisin</t>
  </si>
  <si>
    <t xml:space="preserve">Brumette</t>
  </si>
  <si>
    <t xml:space="preserve">Bulbin</t>
  </si>
  <si>
    <t xml:space="preserve">Cendrin</t>
  </si>
  <si>
    <t xml:space="preserve">Cerviot</t>
  </si>
  <si>
    <t xml:space="preserve">Charbou</t>
  </si>
  <si>
    <t xml:space="preserve">Cigalin</t>
  </si>
  <si>
    <t xml:space="preserve">Coquillou</t>
  </si>
  <si>
    <t xml:space="preserve">Corbinou</t>
  </si>
  <si>
    <t xml:space="preserve">Crabbiot</t>
  </si>
  <si>
    <t xml:space="preserve">Crapou</t>
  </si>
  <si>
    <t xml:space="preserve">Cristallichon</t>
  </si>
  <si>
    <t xml:space="preserve">Crocin</t>
  </si>
  <si>
    <t xml:space="preserve">Dunin</t>
  </si>
  <si>
    <t xml:space="preserve">Escargou</t>
  </si>
  <si>
    <t xml:space="preserve">Fangou</t>
  </si>
  <si>
    <t xml:space="preserve">Flammin</t>
  </si>
  <si>
    <t xml:space="preserve">Fourmichon</t>
  </si>
  <si>
    <t xml:space="preserve">Frelichon</t>
  </si>
  <si>
    <t xml:space="preserve">Galetiot</t>
  </si>
  <si>
    <t xml:space="preserve">Geckin</t>
  </si>
  <si>
    <t xml:space="preserve">Glacin</t>
  </si>
  <si>
    <t xml:space="preserve">Glandette</t>
  </si>
  <si>
    <t xml:space="preserve">Gobichon</t>
  </si>
  <si>
    <t xml:space="preserve">Grelichon</t>
  </si>
  <si>
    <t xml:space="preserve">Grenouillou</t>
  </si>
  <si>
    <t xml:space="preserve">Griffin</t>
  </si>
  <si>
    <t xml:space="preserve">Guêpiot</t>
  </si>
  <si>
    <t xml:space="preserve">Hibette</t>
  </si>
  <si>
    <t xml:space="preserve">Hérissin</t>
  </si>
  <si>
    <t xml:space="preserve">Jaspin</t>
  </si>
  <si>
    <t xml:space="preserve">Libellou</t>
  </si>
  <si>
    <t xml:space="preserve">Lichiot</t>
  </si>
  <si>
    <t xml:space="preserve">Lierriot</t>
  </si>
  <si>
    <t xml:space="preserve">Loutrette</t>
  </si>
  <si>
    <t xml:space="preserve">Luniot</t>
  </si>
  <si>
    <t xml:space="preserve">Lynxou</t>
  </si>
  <si>
    <t xml:space="preserve">Lézou</t>
  </si>
  <si>
    <t xml:space="preserve">Marrou</t>
  </si>
  <si>
    <t xml:space="preserve">Mouettichon</t>
  </si>
  <si>
    <t xml:space="preserve">Moussette</t>
  </si>
  <si>
    <t xml:space="preserve">Mulichon</t>
  </si>
  <si>
    <t xml:space="preserve">Myrtinou</t>
  </si>
  <si>
    <t xml:space="preserve">Mésin</t>
  </si>
  <si>
    <t xml:space="preserve">Nacrin</t>
  </si>
  <si>
    <t xml:space="preserve">Noisichon</t>
  </si>
  <si>
    <t xml:space="preserve">Ombriot</t>
  </si>
  <si>
    <t xml:space="preserve">Opalin</t>
  </si>
  <si>
    <t xml:space="preserve">Oursette</t>
  </si>
  <si>
    <t xml:space="preserve">Papillette</t>
  </si>
  <si>
    <t xml:space="preserve">Pieuvrou</t>
  </si>
  <si>
    <t xml:space="preserve">Pinsichon</t>
  </si>
  <si>
    <t xml:space="preserve">Plumin</t>
  </si>
  <si>
    <t xml:space="preserve">Pommichon</t>
  </si>
  <si>
    <t xml:space="preserve">Pétalou</t>
  </si>
  <si>
    <t xml:space="preserve">Quartzin</t>
  </si>
  <si>
    <t xml:space="preserve">Rascette</t>
  </si>
  <si>
    <t xml:space="preserve">Rochiot</t>
  </si>
  <si>
    <t xml:space="preserve">Roncette</t>
  </si>
  <si>
    <t xml:space="preserve">Rouillou</t>
  </si>
  <si>
    <t xml:space="preserve">Sablichon</t>
  </si>
  <si>
    <t xml:space="preserve">Salamou</t>
  </si>
  <si>
    <t xml:space="preserve">Sanglette</t>
  </si>
  <si>
    <t xml:space="preserve">Saphin</t>
  </si>
  <si>
    <t xml:space="preserve">Sauliot</t>
  </si>
  <si>
    <t xml:space="preserve">Silexiot</t>
  </si>
  <si>
    <t xml:space="preserve">Souffrin</t>
  </si>
  <si>
    <t xml:space="preserve">Taupichon</t>
  </si>
  <si>
    <t xml:space="preserve">Tonninou</t>
  </si>
  <si>
    <t xml:space="preserve">Torrinou</t>
  </si>
  <si>
    <t xml:space="preserve">Tremblichon</t>
  </si>
  <si>
    <t xml:space="preserve">Tritiot</t>
  </si>
  <si>
    <t xml:space="preserve">Têtiot</t>
  </si>
  <si>
    <t xml:space="preserve">Ventinou</t>
  </si>
  <si>
    <t xml:space="preserve">Écaillou</t>
  </si>
  <si>
    <t xml:space="preserve">Écumou</t>
  </si>
  <si>
    <t xml:space="preserve">Aldo le Cueilleur</t>
  </si>
  <si>
    <t xml:space="preserve">Anatole le Bûcheron</t>
  </si>
  <si>
    <t xml:space="preserve">Aëla la Bergère</t>
  </si>
  <si>
    <t xml:space="preserve">Bastien le Garde</t>
  </si>
  <si>
    <t xml:space="preserve">Brune la Garde</t>
  </si>
  <si>
    <t xml:space="preserve">Capucine la Pêcheuse</t>
  </si>
  <si>
    <t xml:space="preserve">Clovis le Berger</t>
  </si>
  <si>
    <t xml:space="preserve">Corentin le Forgeron</t>
  </si>
  <si>
    <t xml:space="preserve">Cyrielle la Bergère</t>
  </si>
  <si>
    <t xml:space="preserve">Dorian le Vagabond</t>
  </si>
  <si>
    <t xml:space="preserve">Elvire la Forgeronne</t>
  </si>
  <si>
    <t xml:space="preserve">Ernest le Cueilleur</t>
  </si>
  <si>
    <t xml:space="preserve">Firmin le Cueilleur</t>
  </si>
  <si>
    <t xml:space="preserve">Gaspard l'Éclaireur</t>
  </si>
  <si>
    <t xml:space="preserve">Gaïa la Forgeronne</t>
  </si>
  <si>
    <t xml:space="preserve">Hugo le Bûcheron</t>
  </si>
  <si>
    <t xml:space="preserve">Inès la Marchande</t>
  </si>
  <si>
    <t xml:space="preserve">Isidore le Garde</t>
  </si>
  <si>
    <t xml:space="preserve">Jade la Garde</t>
  </si>
  <si>
    <t xml:space="preserve">Kira la Marchande</t>
  </si>
  <si>
    <t xml:space="preserve">Lysa la Cueilleuse</t>
  </si>
  <si>
    <t xml:space="preserve">Léonie la Forgeronne</t>
  </si>
  <si>
    <t xml:space="preserve">Milo le Bûcheron</t>
  </si>
  <si>
    <t xml:space="preserve">Mira la Pêcheuse</t>
  </si>
  <si>
    <t xml:space="preserve">Mélusine la Bergère</t>
  </si>
  <si>
    <t xml:space="preserve">Nils l'Éclaireur</t>
  </si>
  <si>
    <t xml:space="preserve">Nola l'Éclaireuse</t>
  </si>
  <si>
    <t xml:space="preserve">Néva l'Apprentie</t>
  </si>
  <si>
    <t xml:space="preserve">Octave le Pêcheur</t>
  </si>
  <si>
    <t xml:space="preserve">Opale la Vagabonde</t>
  </si>
  <si>
    <t xml:space="preserve">Pio le Bûcheron</t>
  </si>
  <si>
    <t xml:space="preserve">Prune la Vagabonde</t>
  </si>
  <si>
    <t xml:space="preserve">Salomé l'Apprentie</t>
  </si>
  <si>
    <t xml:space="preserve">Talia la Marchande</t>
  </si>
  <si>
    <t xml:space="preserve">Victor le Pêcheur</t>
  </si>
  <si>
    <t xml:space="preserve">Viviane l'Éclaireuse</t>
  </si>
  <si>
    <t xml:space="preserve">Wanda la Vagabonde</t>
  </si>
  <si>
    <t xml:space="preserve">Wilfrid le Marchand</t>
  </si>
  <si>
    <t xml:space="preserve">Ysa l'Apprentie</t>
  </si>
  <si>
    <t xml:space="preserve">Zéphyr l'Apprenti</t>
  </si>
  <si>
    <t xml:space="preserve">Collectear – règles d'équilibrage des cartes</t>
  </si>
  <si>
    <t xml:space="preserve">Les cellules en bleu sont modifiables : toutes les stats de l'onglet Cartes se recalculent.</t>
  </si>
  <si>
    <t xml:space="preserve">Nb de cartes</t>
  </si>
  <si>
    <t xml:space="preserve">Budget de puissance</t>
  </si>
  <si>
    <t xml:space="preserve">Taux d'obtention (GDD)</t>
  </si>
  <si>
    <t xml:space="preserve">Total</t>
  </si>
  <si>
    <t xml:space="preserve">Coefficient PV</t>
  </si>
  <si>
    <t xml:space="preserve">Variation max par carte</t>
  </si>
  <si>
    <t xml:space="preserve">Formules</t>
  </si>
  <si>
    <t xml:space="preserve">Puissance = PV / Coefficient PV + ATQ + DEF  (1 point de puissance = 5 PV = 1 ATQ = 1 DEF)</t>
  </si>
  <si>
    <t xml:space="preserve">PV = arrondi(Budget × Variation × Part PV × Coefficient PV)</t>
  </si>
  <si>
    <t xml:space="preserve">ATQ = arrondi(Budget × Variation × Part ATQ)        DEF = arrondi(Budget × Variation × Part DEF)</t>
  </si>
  <si>
    <t xml:space="preserve">Chaque palier de rareté a environ +22 % de budget sur le précédent ; avec ±3 % de variation, les plages ne se chevauchent jamais.</t>
  </si>
  <si>
    <t xml:space="preserve">Le profil répartit le budget entre les stats ; chaque carte a une petite variation aléatoire de ses parts (±3 points).</t>
  </si>
  <si>
    <t xml:space="preserve">Profils (parts de base du budget)</t>
  </si>
  <si>
    <t xml:space="preserve">Profil</t>
  </si>
  <si>
    <t xml:space="preserve">Part PV</t>
  </si>
  <si>
    <t xml:space="preserve">Part ATQ</t>
  </si>
  <si>
    <t xml:space="preserve">Part DEF</t>
  </si>
  <si>
    <t xml:space="preserve">Équilibré</t>
  </si>
  <si>
    <t xml:space="preserve">Offensif</t>
  </si>
  <si>
    <t xml:space="preserve">Défensif</t>
  </si>
  <si>
    <t xml:space="preserve">Robuste</t>
  </si>
  <si>
    <t xml:space="preserve">Source : budgets, profils et répartition 120 / 90 / 50 / 28 / 12 proposés par Claude ; taux d'obtention repris du GDD (exemple, à équilibrer en playtest).</t>
  </si>
  <si>
    <t xml:space="preserve">Synthèse par rareté</t>
  </si>
  <si>
    <t xml:space="preserve">Nb</t>
  </si>
  <si>
    <t xml:space="preserve">Créatures</t>
  </si>
  <si>
    <t xml:space="preserve">PV moyen</t>
  </si>
  <si>
    <t xml:space="preserve">ATQ moyenne</t>
  </si>
  <si>
    <t xml:space="preserve">DEF moyenne</t>
  </si>
  <si>
    <t xml:space="preserve">Puissance min</t>
  </si>
  <si>
    <t xml:space="preserve">Puissance moy.</t>
  </si>
  <si>
    <t xml:space="preserve">Puissance max</t>
  </si>
  <si>
    <t xml:space="preserve">Marge sur rareté inférieure</t>
  </si>
  <si>
    <t xml:space="preserve">–</t>
  </si>
  <si>
    <t xml:space="preserve">Marge sur rareté inférieure = puissance min du palier − puissance max du palier précédent. Elle doit rester positive : aucune carte n'est plus forte qu'une carte de rareté supérieure.</t>
  </si>
  <si>
    <t xml:space="preserve">Puissance</t>
  </si>
  <si>
    <t xml:space="preserve">Variation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</si>
</sst>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00"/>
    <numFmt numFmtId="166" formatCode="0%"/>
    <numFmt numFmtId="167" formatCode="0"/>
    <numFmt numFmtId="168" formatCode="0.0"/>
    <numFmt numFmtId="169" formatCode="0.0%"/>
    <numFmt numFmtId="170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6B688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B6880"/>
      <name val="Arial"/>
      <family val="0"/>
      <charset val="1"/>
    </font>
    <font>
      <sz val="10"/>
      <name val="Arial"/>
      <family val="2"/>
    </font>
    <font>
      <sz val="11"/>
      <color rgb="FF6B68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1440"/>
        <bgColor rgb="FF000000"/>
      </patternFill>
    </fill>
    <fill>
      <patternFill patternType="solid">
        <fgColor rgb="FFFFF0CC"/>
        <bgColor rgb="FFFFE3E3"/>
      </patternFill>
    </fill>
    <fill>
      <patternFill patternType="solid">
        <fgColor rgb="FFFFE3E3"/>
        <bgColor rgb="FFFFF0CC"/>
      </patternFill>
    </fill>
    <fill>
      <patternFill patternType="solid">
        <fgColor rgb="FFE7E1FF"/>
        <bgColor rgb="FFEDEDED"/>
      </patternFill>
    </fill>
    <fill>
      <patternFill patternType="solid">
        <fgColor rgb="FFDDF5F2"/>
        <bgColor rgb="FFEDEDED"/>
      </patternFill>
    </fill>
    <fill>
      <patternFill patternType="solid">
        <fgColor rgb="FFEDEDED"/>
        <bgColor rgb="FFDDF5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14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F5F2"/>
          <bgColor rgb="FF000000"/>
        </patternFill>
      </fill>
    </dxf>
    <dxf>
      <fill>
        <patternFill patternType="solid">
          <fgColor rgb="FFE7E1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3E3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6B68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CC"/>
      <rgbColor rgb="FFDDF5F2"/>
      <rgbColor rgb="FF660066"/>
      <rgbColor rgb="FFFF8080"/>
      <rgbColor rgb="FF0066CC"/>
      <rgbColor rgb="FFD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7E1FF"/>
      <rgbColor rgb="FFFFFF99"/>
      <rgbColor rgb="FF99CCFF"/>
      <rgbColor rgb="FFFF99CC"/>
      <rgbColor rgb="FFCC99FF"/>
      <rgbColor rgb="FFFFE3E3"/>
      <rgbColor rgb="FF3366FF"/>
      <rgbColor rgb="FF33CCCC"/>
      <rgbColor rgb="FF99CC00"/>
      <rgbColor rgb="FFFFCC00"/>
      <rgbColor rgb="FFFF9900"/>
      <rgbColor rgb="FFFF6600"/>
      <rgbColor rgb="FF6B68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rtes" displayName="Cartes" ref="A1:M301" headerRowCount="1" totalsRowCount="0" totalsRowShown="0">
  <autoFilter ref="A1:M301"/>
  <tableColumns count="13">
    <tableColumn id="1" name="N°"/>
    <tableColumn id="2" name="Nom"/>
    <tableColumn id="3" name="Famille"/>
    <tableColumn id="4" name="Rareté"/>
    <tableColumn id="5" name="Profil"/>
    <tableColumn id="6" name="PV"/>
    <tableColumn id="7" name="ATQ"/>
    <tableColumn id="8" name="DEF"/>
    <tableColumn id="9" name="Puissance"/>
    <tableColumn id="10" name="Part PV"/>
    <tableColumn id="11" name="Part ATQ"/>
    <tableColumn id="12" name="Part DEF"/>
    <tableColumn id="13" name="Variation"/>
  </tableColumns>
</table>
</file>

<file path=xl/tables/table2.xml><?xml version="1.0" encoding="utf-8"?>
<table xmlns="http://schemas.openxmlformats.org/spreadsheetml/2006/main" id="2" name="ListeCartes" displayName="ListeCartes" ref="A1:H301" headerRowCount="1" totalsRowCount="0" totalsRowShown="0">
  <autoFilter ref="A1:H301"/>
  <tableColumns count="8">
    <tableColumn id="1" name="N°"/>
    <tableColumn id="2" name="Nom"/>
    <tableColumn id="3" name="Famille"/>
    <tableColumn id="4" name="Rareté"/>
    <tableColumn id="5" name="PV"/>
    <tableColumn id="6" name="ATQ"/>
    <tableColumn id="7" name="DEF"/>
    <tableColumn id="8" name="Boost compagn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7" min="5" style="1" width="8"/>
    <col collapsed="false" customWidth="true" hidden="false" outlineLevel="0" max="8" min="8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291</v>
      </c>
      <c r="B2" s="4" t="s">
        <v>8</v>
      </c>
      <c r="C2" s="4" t="s">
        <v>9</v>
      </c>
      <c r="D2" s="5" t="s">
        <v>10</v>
      </c>
      <c r="E2" s="4" t="n">
        <f aca="false">INDEX(Cartes!$F$2:$F$301,MATCH($A2,Cartes!$A$2:$A$301,0))</f>
        <v>98</v>
      </c>
      <c r="F2" s="4" t="n">
        <f aca="false">INDEX(Cartes!$G$2:$G$301,MATCH($A2,Cartes!$A$2:$A$301,0))</f>
        <v>16</v>
      </c>
      <c r="G2" s="4" t="n">
        <f aca="false">INDEX(Cartes!$H$2:$H$301,MATCH($A2,Cartes!$A$2:$A$301,0))</f>
        <v>34</v>
      </c>
      <c r="H2" s="6" t="s">
        <v>11</v>
      </c>
    </row>
    <row r="3" customFormat="false" ht="15" hidden="false" customHeight="true" outlineLevel="0" collapsed="false">
      <c r="A3" s="3" t="n">
        <v>298</v>
      </c>
      <c r="B3" s="4" t="s">
        <v>12</v>
      </c>
      <c r="C3" s="4" t="s">
        <v>9</v>
      </c>
      <c r="D3" s="5" t="s">
        <v>10</v>
      </c>
      <c r="E3" s="4" t="n">
        <f aca="false">INDEX(Cartes!$F$2:$F$301,MATCH($A3,Cartes!$A$2:$A$301,0))</f>
        <v>97</v>
      </c>
      <c r="F3" s="4" t="n">
        <f aca="false">INDEX(Cartes!$G$2:$G$301,MATCH($A3,Cartes!$A$2:$A$301,0))</f>
        <v>33</v>
      </c>
      <c r="G3" s="4" t="n">
        <f aca="false">INDEX(Cartes!$H$2:$H$301,MATCH($A3,Cartes!$A$2:$A$301,0))</f>
        <v>16</v>
      </c>
      <c r="H3" s="6" t="s">
        <v>13</v>
      </c>
    </row>
    <row r="4" customFormat="false" ht="15" hidden="false" customHeight="true" outlineLevel="0" collapsed="false">
      <c r="A4" s="3" t="n">
        <v>293</v>
      </c>
      <c r="B4" s="4" t="s">
        <v>14</v>
      </c>
      <c r="C4" s="4" t="s">
        <v>9</v>
      </c>
      <c r="D4" s="5" t="s">
        <v>10</v>
      </c>
      <c r="E4" s="4" t="n">
        <f aca="false">INDEX(Cartes!$F$2:$F$301,MATCH($A4,Cartes!$A$2:$A$301,0))</f>
        <v>117</v>
      </c>
      <c r="F4" s="4" t="n">
        <f aca="false">INDEX(Cartes!$G$2:$G$301,MATCH($A4,Cartes!$A$2:$A$301,0))</f>
        <v>23</v>
      </c>
      <c r="G4" s="4" t="n">
        <f aca="false">INDEX(Cartes!$H$2:$H$301,MATCH($A4,Cartes!$A$2:$A$301,0))</f>
        <v>22</v>
      </c>
      <c r="H4" s="6" t="s">
        <v>13</v>
      </c>
    </row>
    <row r="5" customFormat="false" ht="15" hidden="false" customHeight="true" outlineLevel="0" collapsed="false">
      <c r="A5" s="3" t="n">
        <v>289</v>
      </c>
      <c r="B5" s="4" t="s">
        <v>15</v>
      </c>
      <c r="C5" s="4" t="s">
        <v>9</v>
      </c>
      <c r="D5" s="5" t="s">
        <v>10</v>
      </c>
      <c r="E5" s="4" t="n">
        <f aca="false">INDEX(Cartes!$F$2:$F$301,MATCH($A5,Cartes!$A$2:$A$301,0))</f>
        <v>118</v>
      </c>
      <c r="F5" s="4" t="n">
        <f aca="false">INDEX(Cartes!$G$2:$G$301,MATCH($A5,Cartes!$A$2:$A$301,0))</f>
        <v>25</v>
      </c>
      <c r="G5" s="4" t="n">
        <f aca="false">INDEX(Cartes!$H$2:$H$301,MATCH($A5,Cartes!$A$2:$A$301,0))</f>
        <v>21</v>
      </c>
      <c r="H5" s="6" t="s">
        <v>16</v>
      </c>
    </row>
    <row r="6" customFormat="false" ht="15" hidden="false" customHeight="true" outlineLevel="0" collapsed="false">
      <c r="A6" s="3" t="n">
        <v>292</v>
      </c>
      <c r="B6" s="4" t="s">
        <v>17</v>
      </c>
      <c r="C6" s="4" t="s">
        <v>9</v>
      </c>
      <c r="D6" s="5" t="s">
        <v>10</v>
      </c>
      <c r="E6" s="4" t="n">
        <f aca="false">INDEX(Cartes!$F$2:$F$301,MATCH($A6,Cartes!$A$2:$A$301,0))</f>
        <v>179</v>
      </c>
      <c r="F6" s="4" t="n">
        <f aca="false">INDEX(Cartes!$G$2:$G$301,MATCH($A6,Cartes!$A$2:$A$301,0))</f>
        <v>18</v>
      </c>
      <c r="G6" s="4" t="n">
        <f aca="false">INDEX(Cartes!$H$2:$H$301,MATCH($A6,Cartes!$A$2:$A$301,0))</f>
        <v>15</v>
      </c>
      <c r="H6" s="6" t="s">
        <v>16</v>
      </c>
    </row>
    <row r="7" customFormat="false" ht="15" hidden="false" customHeight="true" outlineLevel="0" collapsed="false">
      <c r="A7" s="3" t="n">
        <v>290</v>
      </c>
      <c r="B7" s="4" t="s">
        <v>18</v>
      </c>
      <c r="C7" s="4" t="s">
        <v>9</v>
      </c>
      <c r="D7" s="5" t="s">
        <v>10</v>
      </c>
      <c r="E7" s="4" t="n">
        <f aca="false">INDEX(Cartes!$F$2:$F$301,MATCH($A7,Cartes!$A$2:$A$301,0))</f>
        <v>89</v>
      </c>
      <c r="F7" s="4" t="n">
        <f aca="false">INDEX(Cartes!$G$2:$G$301,MATCH($A7,Cartes!$A$2:$A$301,0))</f>
        <v>34</v>
      </c>
      <c r="G7" s="4" t="n">
        <f aca="false">INDEX(Cartes!$H$2:$H$301,MATCH($A7,Cartes!$A$2:$A$301,0))</f>
        <v>18</v>
      </c>
      <c r="H7" s="6" t="s">
        <v>11</v>
      </c>
    </row>
    <row r="8" customFormat="false" ht="15" hidden="false" customHeight="true" outlineLevel="0" collapsed="false">
      <c r="A8" s="3" t="n">
        <v>297</v>
      </c>
      <c r="B8" s="4" t="s">
        <v>19</v>
      </c>
      <c r="C8" s="4" t="s">
        <v>9</v>
      </c>
      <c r="D8" s="5" t="s">
        <v>10</v>
      </c>
      <c r="E8" s="4" t="n">
        <f aca="false">INDEX(Cartes!$F$2:$F$301,MATCH($A8,Cartes!$A$2:$A$301,0))</f>
        <v>107</v>
      </c>
      <c r="F8" s="4" t="n">
        <f aca="false">INDEX(Cartes!$G$2:$G$301,MATCH($A8,Cartes!$A$2:$A$301,0))</f>
        <v>22</v>
      </c>
      <c r="G8" s="4" t="n">
        <f aca="false">INDEX(Cartes!$H$2:$H$301,MATCH($A8,Cartes!$A$2:$A$301,0))</f>
        <v>24</v>
      </c>
      <c r="H8" s="6" t="s">
        <v>20</v>
      </c>
    </row>
    <row r="9" customFormat="false" ht="15" hidden="false" customHeight="true" outlineLevel="0" collapsed="false">
      <c r="A9" s="3" t="n">
        <v>295</v>
      </c>
      <c r="B9" s="4" t="s">
        <v>21</v>
      </c>
      <c r="C9" s="4" t="s">
        <v>9</v>
      </c>
      <c r="D9" s="5" t="s">
        <v>10</v>
      </c>
      <c r="E9" s="4" t="n">
        <f aca="false">INDEX(Cartes!$F$2:$F$301,MATCH($A9,Cartes!$A$2:$A$301,0))</f>
        <v>102</v>
      </c>
      <c r="F9" s="4" t="n">
        <f aca="false">INDEX(Cartes!$G$2:$G$301,MATCH($A9,Cartes!$A$2:$A$301,0))</f>
        <v>14</v>
      </c>
      <c r="G9" s="4" t="n">
        <f aca="false">INDEX(Cartes!$H$2:$H$301,MATCH($A9,Cartes!$A$2:$A$301,0))</f>
        <v>34</v>
      </c>
      <c r="H9" s="6" t="s">
        <v>16</v>
      </c>
    </row>
    <row r="10" customFormat="false" ht="15" hidden="false" customHeight="true" outlineLevel="0" collapsed="false">
      <c r="A10" s="3" t="n">
        <v>296</v>
      </c>
      <c r="B10" s="4" t="s">
        <v>22</v>
      </c>
      <c r="C10" s="4" t="s">
        <v>23</v>
      </c>
      <c r="D10" s="5" t="s">
        <v>10</v>
      </c>
      <c r="E10" s="4" t="n">
        <f aca="false">INDEX(Cartes!$F$2:$F$301,MATCH($A10,Cartes!$A$2:$A$301,0))</f>
        <v>197</v>
      </c>
      <c r="F10" s="4" t="n">
        <f aca="false">INDEX(Cartes!$G$2:$G$301,MATCH($A10,Cartes!$A$2:$A$301,0))</f>
        <v>17</v>
      </c>
      <c r="G10" s="4" t="n">
        <f aca="false">INDEX(Cartes!$H$2:$H$301,MATCH($A10,Cartes!$A$2:$A$301,0))</f>
        <v>13</v>
      </c>
      <c r="H10" s="6" t="s">
        <v>11</v>
      </c>
    </row>
    <row r="11" customFormat="false" ht="15" hidden="false" customHeight="true" outlineLevel="0" collapsed="false">
      <c r="A11" s="3" t="n">
        <v>300</v>
      </c>
      <c r="B11" s="4" t="s">
        <v>24</v>
      </c>
      <c r="C11" s="4" t="s">
        <v>23</v>
      </c>
      <c r="D11" s="5" t="s">
        <v>10</v>
      </c>
      <c r="E11" s="4" t="n">
        <f aca="false">INDEX(Cartes!$F$2:$F$301,MATCH($A11,Cartes!$A$2:$A$301,0))</f>
        <v>185</v>
      </c>
      <c r="F11" s="4" t="n">
        <f aca="false">INDEX(Cartes!$G$2:$G$301,MATCH($A11,Cartes!$A$2:$A$301,0))</f>
        <v>17</v>
      </c>
      <c r="G11" s="4" t="n">
        <f aca="false">INDEX(Cartes!$H$2:$H$301,MATCH($A11,Cartes!$A$2:$A$301,0))</f>
        <v>13</v>
      </c>
      <c r="H11" s="6" t="s">
        <v>11</v>
      </c>
    </row>
    <row r="12" customFormat="false" ht="15" hidden="false" customHeight="true" outlineLevel="0" collapsed="false">
      <c r="A12" s="3" t="n">
        <v>294</v>
      </c>
      <c r="B12" s="4" t="s">
        <v>25</v>
      </c>
      <c r="C12" s="4" t="s">
        <v>23</v>
      </c>
      <c r="D12" s="5" t="s">
        <v>10</v>
      </c>
      <c r="E12" s="4" t="n">
        <f aca="false">INDEX(Cartes!$F$2:$F$301,MATCH($A12,Cartes!$A$2:$A$301,0))</f>
        <v>82</v>
      </c>
      <c r="F12" s="4" t="n">
        <f aca="false">INDEX(Cartes!$G$2:$G$301,MATCH($A12,Cartes!$A$2:$A$301,0))</f>
        <v>36</v>
      </c>
      <c r="G12" s="4" t="n">
        <f aca="false">INDEX(Cartes!$H$2:$H$301,MATCH($A12,Cartes!$A$2:$A$301,0))</f>
        <v>18</v>
      </c>
      <c r="H12" s="6" t="s">
        <v>13</v>
      </c>
    </row>
    <row r="13" customFormat="false" ht="15" hidden="false" customHeight="true" outlineLevel="0" collapsed="false">
      <c r="A13" s="3" t="n">
        <v>299</v>
      </c>
      <c r="B13" s="4" t="s">
        <v>26</v>
      </c>
      <c r="C13" s="4" t="s">
        <v>23</v>
      </c>
      <c r="D13" s="5" t="s">
        <v>10</v>
      </c>
      <c r="E13" s="4" t="n">
        <f aca="false">INDEX(Cartes!$F$2:$F$301,MATCH($A13,Cartes!$A$2:$A$301,0))</f>
        <v>104</v>
      </c>
      <c r="F13" s="4" t="n">
        <f aca="false">INDEX(Cartes!$G$2:$G$301,MATCH($A13,Cartes!$A$2:$A$301,0))</f>
        <v>13</v>
      </c>
      <c r="G13" s="4" t="n">
        <f aca="false">INDEX(Cartes!$H$2:$H$301,MATCH($A13,Cartes!$A$2:$A$301,0))</f>
        <v>34</v>
      </c>
      <c r="H13" s="6" t="s">
        <v>16</v>
      </c>
    </row>
    <row r="14" customFormat="false" ht="15" hidden="false" customHeight="true" outlineLevel="0" collapsed="false">
      <c r="A14" s="3" t="n">
        <v>275</v>
      </c>
      <c r="B14" s="4" t="s">
        <v>27</v>
      </c>
      <c r="C14" s="4" t="s">
        <v>9</v>
      </c>
      <c r="D14" s="7" t="s">
        <v>28</v>
      </c>
      <c r="E14" s="4" t="n">
        <f aca="false">INDEX(Cartes!$F$2:$F$301,MATCH($A14,Cartes!$A$2:$A$301,0))</f>
        <v>84</v>
      </c>
      <c r="F14" s="4" t="n">
        <f aca="false">INDEX(Cartes!$G$2:$G$301,MATCH($A14,Cartes!$A$2:$A$301,0))</f>
        <v>11</v>
      </c>
      <c r="G14" s="4" t="n">
        <f aca="false">INDEX(Cartes!$H$2:$H$301,MATCH($A14,Cartes!$A$2:$A$301,0))</f>
        <v>26</v>
      </c>
      <c r="H14" s="6" t="s">
        <v>20</v>
      </c>
    </row>
    <row r="15" customFormat="false" ht="15" hidden="false" customHeight="true" outlineLevel="0" collapsed="false">
      <c r="A15" s="3" t="n">
        <v>263</v>
      </c>
      <c r="B15" s="4" t="s">
        <v>29</v>
      </c>
      <c r="C15" s="4" t="s">
        <v>9</v>
      </c>
      <c r="D15" s="7" t="s">
        <v>28</v>
      </c>
      <c r="E15" s="4" t="n">
        <f aca="false">INDEX(Cartes!$F$2:$F$301,MATCH($A15,Cartes!$A$2:$A$301,0))</f>
        <v>83</v>
      </c>
      <c r="F15" s="4" t="n">
        <f aca="false">INDEX(Cartes!$G$2:$G$301,MATCH($A15,Cartes!$A$2:$A$301,0))</f>
        <v>11</v>
      </c>
      <c r="G15" s="4" t="n">
        <f aca="false">INDEX(Cartes!$H$2:$H$301,MATCH($A15,Cartes!$A$2:$A$301,0))</f>
        <v>28</v>
      </c>
      <c r="H15" s="6" t="s">
        <v>11</v>
      </c>
    </row>
    <row r="16" customFormat="false" ht="15" hidden="false" customHeight="true" outlineLevel="0" collapsed="false">
      <c r="A16" s="3" t="n">
        <v>274</v>
      </c>
      <c r="B16" s="4" t="s">
        <v>30</v>
      </c>
      <c r="C16" s="4" t="s">
        <v>9</v>
      </c>
      <c r="D16" s="7" t="s">
        <v>28</v>
      </c>
      <c r="E16" s="4" t="n">
        <f aca="false">INDEX(Cartes!$F$2:$F$301,MATCH($A16,Cartes!$A$2:$A$301,0))</f>
        <v>70</v>
      </c>
      <c r="F16" s="4" t="n">
        <f aca="false">INDEX(Cartes!$G$2:$G$301,MATCH($A16,Cartes!$A$2:$A$301,0))</f>
        <v>29</v>
      </c>
      <c r="G16" s="4" t="n">
        <f aca="false">INDEX(Cartes!$H$2:$H$301,MATCH($A16,Cartes!$A$2:$A$301,0))</f>
        <v>13</v>
      </c>
      <c r="H16" s="6" t="s">
        <v>11</v>
      </c>
    </row>
    <row r="17" customFormat="false" ht="15" hidden="false" customHeight="true" outlineLevel="0" collapsed="false">
      <c r="A17" s="3" t="n">
        <v>279</v>
      </c>
      <c r="B17" s="4" t="s">
        <v>31</v>
      </c>
      <c r="C17" s="4" t="s">
        <v>9</v>
      </c>
      <c r="D17" s="7" t="s">
        <v>28</v>
      </c>
      <c r="E17" s="4" t="n">
        <f aca="false">INDEX(Cartes!$F$2:$F$301,MATCH($A17,Cartes!$A$2:$A$301,0))</f>
        <v>86</v>
      </c>
      <c r="F17" s="4" t="n">
        <f aca="false">INDEX(Cartes!$G$2:$G$301,MATCH($A17,Cartes!$A$2:$A$301,0))</f>
        <v>12</v>
      </c>
      <c r="G17" s="4" t="n">
        <f aca="false">INDEX(Cartes!$H$2:$H$301,MATCH($A17,Cartes!$A$2:$A$301,0))</f>
        <v>26</v>
      </c>
      <c r="H17" s="6" t="s">
        <v>16</v>
      </c>
    </row>
    <row r="18" customFormat="false" ht="15" hidden="false" customHeight="true" outlineLevel="0" collapsed="false">
      <c r="A18" s="3" t="n">
        <v>280</v>
      </c>
      <c r="B18" s="4" t="s">
        <v>32</v>
      </c>
      <c r="C18" s="4" t="s">
        <v>9</v>
      </c>
      <c r="D18" s="7" t="s">
        <v>28</v>
      </c>
      <c r="E18" s="4" t="n">
        <f aca="false">INDEX(Cartes!$F$2:$F$301,MATCH($A18,Cartes!$A$2:$A$301,0))</f>
        <v>149</v>
      </c>
      <c r="F18" s="4" t="n">
        <f aca="false">INDEX(Cartes!$G$2:$G$301,MATCH($A18,Cartes!$A$2:$A$301,0))</f>
        <v>13</v>
      </c>
      <c r="G18" s="4" t="n">
        <f aca="false">INDEX(Cartes!$H$2:$H$301,MATCH($A18,Cartes!$A$2:$A$301,0))</f>
        <v>11</v>
      </c>
      <c r="H18" s="6" t="s">
        <v>20</v>
      </c>
    </row>
    <row r="19" customFormat="false" ht="15" hidden="false" customHeight="true" outlineLevel="0" collapsed="false">
      <c r="A19" s="3" t="n">
        <v>265</v>
      </c>
      <c r="B19" s="4" t="s">
        <v>33</v>
      </c>
      <c r="C19" s="4" t="s">
        <v>9</v>
      </c>
      <c r="D19" s="7" t="s">
        <v>28</v>
      </c>
      <c r="E19" s="4" t="n">
        <f aca="false">INDEX(Cartes!$F$2:$F$301,MATCH($A19,Cartes!$A$2:$A$301,0))</f>
        <v>97</v>
      </c>
      <c r="F19" s="4" t="n">
        <f aca="false">INDEX(Cartes!$G$2:$G$301,MATCH($A19,Cartes!$A$2:$A$301,0))</f>
        <v>18</v>
      </c>
      <c r="G19" s="4" t="n">
        <f aca="false">INDEX(Cartes!$H$2:$H$301,MATCH($A19,Cartes!$A$2:$A$301,0))</f>
        <v>19</v>
      </c>
      <c r="H19" s="6" t="s">
        <v>13</v>
      </c>
    </row>
    <row r="20" customFormat="false" ht="15" hidden="false" customHeight="true" outlineLevel="0" collapsed="false">
      <c r="A20" s="3" t="n">
        <v>266</v>
      </c>
      <c r="B20" s="4" t="s">
        <v>34</v>
      </c>
      <c r="C20" s="4" t="s">
        <v>9</v>
      </c>
      <c r="D20" s="7" t="s">
        <v>28</v>
      </c>
      <c r="E20" s="4" t="n">
        <f aca="false">INDEX(Cartes!$F$2:$F$301,MATCH($A20,Cartes!$A$2:$A$301,0))</f>
        <v>69</v>
      </c>
      <c r="F20" s="4" t="n">
        <f aca="false">INDEX(Cartes!$G$2:$G$301,MATCH($A20,Cartes!$A$2:$A$301,0))</f>
        <v>28</v>
      </c>
      <c r="G20" s="4" t="n">
        <f aca="false">INDEX(Cartes!$H$2:$H$301,MATCH($A20,Cartes!$A$2:$A$301,0))</f>
        <v>14</v>
      </c>
      <c r="H20" s="6" t="s">
        <v>13</v>
      </c>
    </row>
    <row r="21" customFormat="false" ht="15" hidden="false" customHeight="true" outlineLevel="0" collapsed="false">
      <c r="A21" s="3" t="n">
        <v>278</v>
      </c>
      <c r="B21" s="4" t="s">
        <v>35</v>
      </c>
      <c r="C21" s="4" t="s">
        <v>9</v>
      </c>
      <c r="D21" s="7" t="s">
        <v>28</v>
      </c>
      <c r="E21" s="4" t="n">
        <f aca="false">INDEX(Cartes!$F$2:$F$301,MATCH($A21,Cartes!$A$2:$A$301,0))</f>
        <v>61</v>
      </c>
      <c r="F21" s="4" t="n">
        <f aca="false">INDEX(Cartes!$G$2:$G$301,MATCH($A21,Cartes!$A$2:$A$301,0))</f>
        <v>28</v>
      </c>
      <c r="G21" s="4" t="n">
        <f aca="false">INDEX(Cartes!$H$2:$H$301,MATCH($A21,Cartes!$A$2:$A$301,0))</f>
        <v>15</v>
      </c>
      <c r="H21" s="6" t="s">
        <v>16</v>
      </c>
    </row>
    <row r="22" customFormat="false" ht="15" hidden="false" customHeight="true" outlineLevel="0" collapsed="false">
      <c r="A22" s="3" t="n">
        <v>273</v>
      </c>
      <c r="B22" s="4" t="s">
        <v>36</v>
      </c>
      <c r="C22" s="4" t="s">
        <v>9</v>
      </c>
      <c r="D22" s="7" t="s">
        <v>28</v>
      </c>
      <c r="E22" s="4" t="n">
        <f aca="false">INDEX(Cartes!$F$2:$F$301,MATCH($A22,Cartes!$A$2:$A$301,0))</f>
        <v>91</v>
      </c>
      <c r="F22" s="4" t="n">
        <f aca="false">INDEX(Cartes!$G$2:$G$301,MATCH($A22,Cartes!$A$2:$A$301,0))</f>
        <v>18</v>
      </c>
      <c r="G22" s="4" t="n">
        <f aca="false">INDEX(Cartes!$H$2:$H$301,MATCH($A22,Cartes!$A$2:$A$301,0))</f>
        <v>19</v>
      </c>
      <c r="H22" s="6" t="s">
        <v>13</v>
      </c>
    </row>
    <row r="23" customFormat="false" ht="15" hidden="false" customHeight="true" outlineLevel="0" collapsed="false">
      <c r="A23" s="3" t="n">
        <v>286</v>
      </c>
      <c r="B23" s="4" t="s">
        <v>37</v>
      </c>
      <c r="C23" s="4" t="s">
        <v>9</v>
      </c>
      <c r="D23" s="7" t="s">
        <v>28</v>
      </c>
      <c r="E23" s="4" t="n">
        <f aca="false">INDEX(Cartes!$F$2:$F$301,MATCH($A23,Cartes!$A$2:$A$301,0))</f>
        <v>71</v>
      </c>
      <c r="F23" s="4" t="n">
        <f aca="false">INDEX(Cartes!$G$2:$G$301,MATCH($A23,Cartes!$A$2:$A$301,0))</f>
        <v>27</v>
      </c>
      <c r="G23" s="4" t="n">
        <f aca="false">INDEX(Cartes!$H$2:$H$301,MATCH($A23,Cartes!$A$2:$A$301,0))</f>
        <v>14</v>
      </c>
      <c r="H23" s="6" t="s">
        <v>20</v>
      </c>
    </row>
    <row r="24" customFormat="false" ht="15" hidden="false" customHeight="true" outlineLevel="0" collapsed="false">
      <c r="A24" s="3" t="n">
        <v>272</v>
      </c>
      <c r="B24" s="4" t="s">
        <v>38</v>
      </c>
      <c r="C24" s="4" t="s">
        <v>9</v>
      </c>
      <c r="D24" s="7" t="s">
        <v>28</v>
      </c>
      <c r="E24" s="4" t="n">
        <f aca="false">INDEX(Cartes!$F$2:$F$301,MATCH($A24,Cartes!$A$2:$A$301,0))</f>
        <v>144</v>
      </c>
      <c r="F24" s="4" t="n">
        <f aca="false">INDEX(Cartes!$G$2:$G$301,MATCH($A24,Cartes!$A$2:$A$301,0))</f>
        <v>14</v>
      </c>
      <c r="G24" s="4" t="n">
        <f aca="false">INDEX(Cartes!$H$2:$H$301,MATCH($A24,Cartes!$A$2:$A$301,0))</f>
        <v>12</v>
      </c>
      <c r="H24" s="6" t="s">
        <v>20</v>
      </c>
    </row>
    <row r="25" customFormat="false" ht="15" hidden="false" customHeight="true" outlineLevel="0" collapsed="false">
      <c r="A25" s="3" t="n">
        <v>270</v>
      </c>
      <c r="B25" s="4" t="s">
        <v>39</v>
      </c>
      <c r="C25" s="4" t="s">
        <v>9</v>
      </c>
      <c r="D25" s="7" t="s">
        <v>28</v>
      </c>
      <c r="E25" s="4" t="n">
        <f aca="false">INDEX(Cartes!$F$2:$F$301,MATCH($A25,Cartes!$A$2:$A$301,0))</f>
        <v>64</v>
      </c>
      <c r="F25" s="4" t="n">
        <f aca="false">INDEX(Cartes!$G$2:$G$301,MATCH($A25,Cartes!$A$2:$A$301,0))</f>
        <v>27</v>
      </c>
      <c r="G25" s="4" t="n">
        <f aca="false">INDEX(Cartes!$H$2:$H$301,MATCH($A25,Cartes!$A$2:$A$301,0))</f>
        <v>15</v>
      </c>
      <c r="H25" s="6" t="s">
        <v>16</v>
      </c>
    </row>
    <row r="26" customFormat="false" ht="15" hidden="false" customHeight="true" outlineLevel="0" collapsed="false">
      <c r="A26" s="3" t="n">
        <v>288</v>
      </c>
      <c r="B26" s="4" t="s">
        <v>40</v>
      </c>
      <c r="C26" s="4" t="s">
        <v>9</v>
      </c>
      <c r="D26" s="7" t="s">
        <v>28</v>
      </c>
      <c r="E26" s="4" t="n">
        <f aca="false">INDEX(Cartes!$F$2:$F$301,MATCH($A26,Cartes!$A$2:$A$301,0))</f>
        <v>153</v>
      </c>
      <c r="F26" s="4" t="n">
        <f aca="false">INDEX(Cartes!$G$2:$G$301,MATCH($A26,Cartes!$A$2:$A$301,0))</f>
        <v>14</v>
      </c>
      <c r="G26" s="4" t="n">
        <f aca="false">INDEX(Cartes!$H$2:$H$301,MATCH($A26,Cartes!$A$2:$A$301,0))</f>
        <v>10</v>
      </c>
      <c r="H26" s="6" t="s">
        <v>11</v>
      </c>
    </row>
    <row r="27" customFormat="false" ht="15" hidden="false" customHeight="true" outlineLevel="0" collapsed="false">
      <c r="A27" s="3" t="n">
        <v>285</v>
      </c>
      <c r="B27" s="4" t="s">
        <v>41</v>
      </c>
      <c r="C27" s="4" t="s">
        <v>9</v>
      </c>
      <c r="D27" s="7" t="s">
        <v>28</v>
      </c>
      <c r="E27" s="4" t="n">
        <f aca="false">INDEX(Cartes!$F$2:$F$301,MATCH($A27,Cartes!$A$2:$A$301,0))</f>
        <v>99</v>
      </c>
      <c r="F27" s="4" t="n">
        <f aca="false">INDEX(Cartes!$G$2:$G$301,MATCH($A27,Cartes!$A$2:$A$301,0))</f>
        <v>17</v>
      </c>
      <c r="G27" s="4" t="n">
        <f aca="false">INDEX(Cartes!$H$2:$H$301,MATCH($A27,Cartes!$A$2:$A$301,0))</f>
        <v>17</v>
      </c>
      <c r="H27" s="6" t="s">
        <v>16</v>
      </c>
    </row>
    <row r="28" customFormat="false" ht="15" hidden="false" customHeight="true" outlineLevel="0" collapsed="false">
      <c r="A28" s="3" t="n">
        <v>267</v>
      </c>
      <c r="B28" s="4" t="s">
        <v>42</v>
      </c>
      <c r="C28" s="4" t="s">
        <v>9</v>
      </c>
      <c r="D28" s="7" t="s">
        <v>28</v>
      </c>
      <c r="E28" s="4" t="n">
        <f aca="false">INDEX(Cartes!$F$2:$F$301,MATCH($A28,Cartes!$A$2:$A$301,0))</f>
        <v>88</v>
      </c>
      <c r="F28" s="4" t="n">
        <f aca="false">INDEX(Cartes!$G$2:$G$301,MATCH($A28,Cartes!$A$2:$A$301,0))</f>
        <v>10</v>
      </c>
      <c r="G28" s="4" t="n">
        <f aca="false">INDEX(Cartes!$H$2:$H$301,MATCH($A28,Cartes!$A$2:$A$301,0))</f>
        <v>27</v>
      </c>
      <c r="H28" s="6" t="s">
        <v>13</v>
      </c>
    </row>
    <row r="29" customFormat="false" ht="15" hidden="false" customHeight="true" outlineLevel="0" collapsed="false">
      <c r="A29" s="3" t="n">
        <v>282</v>
      </c>
      <c r="B29" s="4" t="s">
        <v>43</v>
      </c>
      <c r="C29" s="4" t="s">
        <v>9</v>
      </c>
      <c r="D29" s="7" t="s">
        <v>28</v>
      </c>
      <c r="E29" s="4" t="n">
        <f aca="false">INDEX(Cartes!$F$2:$F$301,MATCH($A29,Cartes!$A$2:$A$301,0))</f>
        <v>67</v>
      </c>
      <c r="F29" s="4" t="n">
        <f aca="false">INDEX(Cartes!$G$2:$G$301,MATCH($A29,Cartes!$A$2:$A$301,0))</f>
        <v>27</v>
      </c>
      <c r="G29" s="4" t="n">
        <f aca="false">INDEX(Cartes!$H$2:$H$301,MATCH($A29,Cartes!$A$2:$A$301,0))</f>
        <v>14</v>
      </c>
      <c r="H29" s="6" t="s">
        <v>13</v>
      </c>
    </row>
    <row r="30" customFormat="false" ht="15" hidden="false" customHeight="true" outlineLevel="0" collapsed="false">
      <c r="A30" s="3" t="n">
        <v>268</v>
      </c>
      <c r="B30" s="4" t="s">
        <v>44</v>
      </c>
      <c r="C30" s="4" t="s">
        <v>9</v>
      </c>
      <c r="D30" s="7" t="s">
        <v>28</v>
      </c>
      <c r="E30" s="4" t="n">
        <f aca="false">INDEX(Cartes!$F$2:$F$301,MATCH($A30,Cartes!$A$2:$A$301,0))</f>
        <v>150</v>
      </c>
      <c r="F30" s="4" t="n">
        <f aca="false">INDEX(Cartes!$G$2:$G$301,MATCH($A30,Cartes!$A$2:$A$301,0))</f>
        <v>14</v>
      </c>
      <c r="G30" s="4" t="n">
        <f aca="false">INDEX(Cartes!$H$2:$H$301,MATCH($A30,Cartes!$A$2:$A$301,0))</f>
        <v>12</v>
      </c>
      <c r="H30" s="6" t="s">
        <v>20</v>
      </c>
    </row>
    <row r="31" customFormat="false" ht="15" hidden="false" customHeight="true" outlineLevel="0" collapsed="false">
      <c r="A31" s="3" t="n">
        <v>283</v>
      </c>
      <c r="B31" s="4" t="s">
        <v>45</v>
      </c>
      <c r="C31" s="4" t="s">
        <v>9</v>
      </c>
      <c r="D31" s="7" t="s">
        <v>28</v>
      </c>
      <c r="E31" s="4" t="n">
        <f aca="false">INDEX(Cartes!$F$2:$F$301,MATCH($A31,Cartes!$A$2:$A$301,0))</f>
        <v>80</v>
      </c>
      <c r="F31" s="4" t="n">
        <f aca="false">INDEX(Cartes!$G$2:$G$301,MATCH($A31,Cartes!$A$2:$A$301,0))</f>
        <v>12</v>
      </c>
      <c r="G31" s="4" t="n">
        <f aca="false">INDEX(Cartes!$H$2:$H$301,MATCH($A31,Cartes!$A$2:$A$301,0))</f>
        <v>26</v>
      </c>
      <c r="H31" s="6" t="s">
        <v>11</v>
      </c>
    </row>
    <row r="32" customFormat="false" ht="15" hidden="false" customHeight="true" outlineLevel="0" collapsed="false">
      <c r="A32" s="3" t="n">
        <v>261</v>
      </c>
      <c r="B32" s="4" t="s">
        <v>46</v>
      </c>
      <c r="C32" s="4" t="s">
        <v>23</v>
      </c>
      <c r="D32" s="7" t="s">
        <v>28</v>
      </c>
      <c r="E32" s="4" t="n">
        <f aca="false">INDEX(Cartes!$F$2:$F$301,MATCH($A32,Cartes!$A$2:$A$301,0))</f>
        <v>97</v>
      </c>
      <c r="F32" s="4" t="n">
        <f aca="false">INDEX(Cartes!$G$2:$G$301,MATCH($A32,Cartes!$A$2:$A$301,0))</f>
        <v>18</v>
      </c>
      <c r="G32" s="4" t="n">
        <f aca="false">INDEX(Cartes!$H$2:$H$301,MATCH($A32,Cartes!$A$2:$A$301,0))</f>
        <v>18</v>
      </c>
      <c r="H32" s="6" t="s">
        <v>11</v>
      </c>
    </row>
    <row r="33" customFormat="false" ht="15" hidden="false" customHeight="true" outlineLevel="0" collapsed="false">
      <c r="A33" s="3" t="n">
        <v>262</v>
      </c>
      <c r="B33" s="4" t="s">
        <v>47</v>
      </c>
      <c r="C33" s="4" t="s">
        <v>23</v>
      </c>
      <c r="D33" s="7" t="s">
        <v>28</v>
      </c>
      <c r="E33" s="4" t="n">
        <f aca="false">INDEX(Cartes!$F$2:$F$301,MATCH($A33,Cartes!$A$2:$A$301,0))</f>
        <v>76</v>
      </c>
      <c r="F33" s="4" t="n">
        <f aca="false">INDEX(Cartes!$G$2:$G$301,MATCH($A33,Cartes!$A$2:$A$301,0))</f>
        <v>26</v>
      </c>
      <c r="G33" s="4" t="n">
        <f aca="false">INDEX(Cartes!$H$2:$H$301,MATCH($A33,Cartes!$A$2:$A$301,0))</f>
        <v>13</v>
      </c>
      <c r="H33" s="6" t="s">
        <v>11</v>
      </c>
    </row>
    <row r="34" customFormat="false" ht="15" hidden="false" customHeight="true" outlineLevel="0" collapsed="false">
      <c r="A34" s="3" t="n">
        <v>269</v>
      </c>
      <c r="B34" s="4" t="s">
        <v>48</v>
      </c>
      <c r="C34" s="4" t="s">
        <v>23</v>
      </c>
      <c r="D34" s="7" t="s">
        <v>28</v>
      </c>
      <c r="E34" s="4" t="n">
        <f aca="false">INDEX(Cartes!$F$2:$F$301,MATCH($A34,Cartes!$A$2:$A$301,0))</f>
        <v>94</v>
      </c>
      <c r="F34" s="4" t="n">
        <f aca="false">INDEX(Cartes!$G$2:$G$301,MATCH($A34,Cartes!$A$2:$A$301,0))</f>
        <v>17</v>
      </c>
      <c r="G34" s="4" t="n">
        <f aca="false">INDEX(Cartes!$H$2:$H$301,MATCH($A34,Cartes!$A$2:$A$301,0))</f>
        <v>18</v>
      </c>
      <c r="H34" s="6" t="s">
        <v>16</v>
      </c>
    </row>
    <row r="35" customFormat="false" ht="15" hidden="false" customHeight="true" outlineLevel="0" collapsed="false">
      <c r="A35" s="3" t="n">
        <v>281</v>
      </c>
      <c r="B35" s="4" t="s">
        <v>49</v>
      </c>
      <c r="C35" s="4" t="s">
        <v>23</v>
      </c>
      <c r="D35" s="7" t="s">
        <v>28</v>
      </c>
      <c r="E35" s="4" t="n">
        <f aca="false">INDEX(Cartes!$F$2:$F$301,MATCH($A35,Cartes!$A$2:$A$301,0))</f>
        <v>91</v>
      </c>
      <c r="F35" s="4" t="n">
        <f aca="false">INDEX(Cartes!$G$2:$G$301,MATCH($A35,Cartes!$A$2:$A$301,0))</f>
        <v>18</v>
      </c>
      <c r="G35" s="4" t="n">
        <f aca="false">INDEX(Cartes!$H$2:$H$301,MATCH($A35,Cartes!$A$2:$A$301,0))</f>
        <v>18</v>
      </c>
      <c r="H35" s="6" t="s">
        <v>13</v>
      </c>
    </row>
    <row r="36" customFormat="false" ht="15" hidden="false" customHeight="true" outlineLevel="0" collapsed="false">
      <c r="A36" s="3" t="n">
        <v>276</v>
      </c>
      <c r="B36" s="4" t="s">
        <v>50</v>
      </c>
      <c r="C36" s="4" t="s">
        <v>23</v>
      </c>
      <c r="D36" s="7" t="s">
        <v>28</v>
      </c>
      <c r="E36" s="4" t="n">
        <f aca="false">INDEX(Cartes!$F$2:$F$301,MATCH($A36,Cartes!$A$2:$A$301,0))</f>
        <v>152</v>
      </c>
      <c r="F36" s="4" t="n">
        <f aca="false">INDEX(Cartes!$G$2:$G$301,MATCH($A36,Cartes!$A$2:$A$301,0))</f>
        <v>14</v>
      </c>
      <c r="G36" s="4" t="n">
        <f aca="false">INDEX(Cartes!$H$2:$H$301,MATCH($A36,Cartes!$A$2:$A$301,0))</f>
        <v>11</v>
      </c>
      <c r="H36" s="6" t="s">
        <v>13</v>
      </c>
    </row>
    <row r="37" customFormat="false" ht="15" hidden="false" customHeight="true" outlineLevel="0" collapsed="false">
      <c r="A37" s="3" t="n">
        <v>271</v>
      </c>
      <c r="B37" s="4" t="s">
        <v>51</v>
      </c>
      <c r="C37" s="4" t="s">
        <v>23</v>
      </c>
      <c r="D37" s="7" t="s">
        <v>28</v>
      </c>
      <c r="E37" s="4" t="n">
        <f aca="false">INDEX(Cartes!$F$2:$F$301,MATCH($A37,Cartes!$A$2:$A$301,0))</f>
        <v>85</v>
      </c>
      <c r="F37" s="4" t="n">
        <f aca="false">INDEX(Cartes!$G$2:$G$301,MATCH($A37,Cartes!$A$2:$A$301,0))</f>
        <v>11</v>
      </c>
      <c r="G37" s="4" t="n">
        <f aca="false">INDEX(Cartes!$H$2:$H$301,MATCH($A37,Cartes!$A$2:$A$301,0))</f>
        <v>27</v>
      </c>
      <c r="H37" s="6" t="s">
        <v>20</v>
      </c>
    </row>
    <row r="38" customFormat="false" ht="15" hidden="false" customHeight="true" outlineLevel="0" collapsed="false">
      <c r="A38" s="3" t="n">
        <v>277</v>
      </c>
      <c r="B38" s="4" t="s">
        <v>52</v>
      </c>
      <c r="C38" s="4" t="s">
        <v>23</v>
      </c>
      <c r="D38" s="7" t="s">
        <v>28</v>
      </c>
      <c r="E38" s="4" t="n">
        <f aca="false">INDEX(Cartes!$F$2:$F$301,MATCH($A38,Cartes!$A$2:$A$301,0))</f>
        <v>84</v>
      </c>
      <c r="F38" s="4" t="n">
        <f aca="false">INDEX(Cartes!$G$2:$G$301,MATCH($A38,Cartes!$A$2:$A$301,0))</f>
        <v>18</v>
      </c>
      <c r="G38" s="4" t="n">
        <f aca="false">INDEX(Cartes!$H$2:$H$301,MATCH($A38,Cartes!$A$2:$A$301,0))</f>
        <v>19</v>
      </c>
      <c r="H38" s="6" t="s">
        <v>13</v>
      </c>
    </row>
    <row r="39" customFormat="false" ht="15" hidden="false" customHeight="true" outlineLevel="0" collapsed="false">
      <c r="A39" s="3" t="n">
        <v>287</v>
      </c>
      <c r="B39" s="4" t="s">
        <v>53</v>
      </c>
      <c r="C39" s="4" t="s">
        <v>23</v>
      </c>
      <c r="D39" s="7" t="s">
        <v>28</v>
      </c>
      <c r="E39" s="4" t="n">
        <f aca="false">INDEX(Cartes!$F$2:$F$301,MATCH($A39,Cartes!$A$2:$A$301,0))</f>
        <v>78</v>
      </c>
      <c r="F39" s="4" t="n">
        <f aca="false">INDEX(Cartes!$G$2:$G$301,MATCH($A39,Cartes!$A$2:$A$301,0))</f>
        <v>11</v>
      </c>
      <c r="G39" s="4" t="n">
        <f aca="false">INDEX(Cartes!$H$2:$H$301,MATCH($A39,Cartes!$A$2:$A$301,0))</f>
        <v>28</v>
      </c>
      <c r="H39" s="6" t="s">
        <v>16</v>
      </c>
    </row>
    <row r="40" customFormat="false" ht="15" hidden="false" customHeight="true" outlineLevel="0" collapsed="false">
      <c r="A40" s="3" t="n">
        <v>264</v>
      </c>
      <c r="B40" s="4" t="s">
        <v>54</v>
      </c>
      <c r="C40" s="4" t="s">
        <v>23</v>
      </c>
      <c r="D40" s="7" t="s">
        <v>28</v>
      </c>
      <c r="E40" s="4" t="n">
        <f aca="false">INDEX(Cartes!$F$2:$F$301,MATCH($A40,Cartes!$A$2:$A$301,0))</f>
        <v>155</v>
      </c>
      <c r="F40" s="4" t="n">
        <f aca="false">INDEX(Cartes!$G$2:$G$301,MATCH($A40,Cartes!$A$2:$A$301,0))</f>
        <v>14</v>
      </c>
      <c r="G40" s="4" t="n">
        <f aca="false">INDEX(Cartes!$H$2:$H$301,MATCH($A40,Cartes!$A$2:$A$301,0))</f>
        <v>10</v>
      </c>
      <c r="H40" s="6" t="s">
        <v>16</v>
      </c>
    </row>
    <row r="41" customFormat="false" ht="15" hidden="false" customHeight="true" outlineLevel="0" collapsed="false">
      <c r="A41" s="3" t="n">
        <v>284</v>
      </c>
      <c r="B41" s="4" t="s">
        <v>55</v>
      </c>
      <c r="C41" s="4" t="s">
        <v>23</v>
      </c>
      <c r="D41" s="7" t="s">
        <v>28</v>
      </c>
      <c r="E41" s="4" t="n">
        <f aca="false">INDEX(Cartes!$F$2:$F$301,MATCH($A41,Cartes!$A$2:$A$301,0))</f>
        <v>149</v>
      </c>
      <c r="F41" s="4" t="n">
        <f aca="false">INDEX(Cartes!$G$2:$G$301,MATCH($A41,Cartes!$A$2:$A$301,0))</f>
        <v>14</v>
      </c>
      <c r="G41" s="4" t="n">
        <f aca="false">INDEX(Cartes!$H$2:$H$301,MATCH($A41,Cartes!$A$2:$A$301,0))</f>
        <v>11</v>
      </c>
      <c r="H41" s="6" t="s">
        <v>20</v>
      </c>
    </row>
    <row r="42" customFormat="false" ht="15" hidden="false" customHeight="true" outlineLevel="0" collapsed="false">
      <c r="A42" s="3" t="n">
        <v>239</v>
      </c>
      <c r="B42" s="4" t="s">
        <v>56</v>
      </c>
      <c r="C42" s="4" t="s">
        <v>9</v>
      </c>
      <c r="D42" s="8" t="s">
        <v>57</v>
      </c>
      <c r="E42" s="4" t="n">
        <f aca="false">INDEX(Cartes!$F$2:$F$301,MATCH($A42,Cartes!$A$2:$A$301,0))</f>
        <v>75</v>
      </c>
      <c r="F42" s="4" t="n">
        <f aca="false">INDEX(Cartes!$G$2:$G$301,MATCH($A42,Cartes!$A$2:$A$301,0))</f>
        <v>14</v>
      </c>
      <c r="G42" s="4" t="n">
        <f aca="false">INDEX(Cartes!$H$2:$H$301,MATCH($A42,Cartes!$A$2:$A$301,0))</f>
        <v>15</v>
      </c>
      <c r="H42" s="6" t="s">
        <v>20</v>
      </c>
    </row>
    <row r="43" customFormat="false" ht="15" hidden="false" customHeight="true" outlineLevel="0" collapsed="false">
      <c r="A43" s="3" t="n">
        <v>214</v>
      </c>
      <c r="B43" s="4" t="s">
        <v>58</v>
      </c>
      <c r="C43" s="4" t="s">
        <v>9</v>
      </c>
      <c r="D43" s="8" t="s">
        <v>57</v>
      </c>
      <c r="E43" s="4" t="n">
        <f aca="false">INDEX(Cartes!$F$2:$F$301,MATCH($A43,Cartes!$A$2:$A$301,0))</f>
        <v>127</v>
      </c>
      <c r="F43" s="4" t="n">
        <f aca="false">INDEX(Cartes!$G$2:$G$301,MATCH($A43,Cartes!$A$2:$A$301,0))</f>
        <v>11</v>
      </c>
      <c r="G43" s="4" t="n">
        <f aca="false">INDEX(Cartes!$H$2:$H$301,MATCH($A43,Cartes!$A$2:$A$301,0))</f>
        <v>8</v>
      </c>
      <c r="H43" s="6" t="s">
        <v>16</v>
      </c>
    </row>
    <row r="44" customFormat="false" ht="15" hidden="false" customHeight="true" outlineLevel="0" collapsed="false">
      <c r="A44" s="3" t="n">
        <v>247</v>
      </c>
      <c r="B44" s="4" t="s">
        <v>59</v>
      </c>
      <c r="C44" s="4" t="s">
        <v>9</v>
      </c>
      <c r="D44" s="8" t="s">
        <v>57</v>
      </c>
      <c r="E44" s="4" t="n">
        <f aca="false">INDEX(Cartes!$F$2:$F$301,MATCH($A44,Cartes!$A$2:$A$301,0))</f>
        <v>72</v>
      </c>
      <c r="F44" s="4" t="n">
        <f aca="false">INDEX(Cartes!$G$2:$G$301,MATCH($A44,Cartes!$A$2:$A$301,0))</f>
        <v>16</v>
      </c>
      <c r="G44" s="4" t="n">
        <f aca="false">INDEX(Cartes!$H$2:$H$301,MATCH($A44,Cartes!$A$2:$A$301,0))</f>
        <v>16</v>
      </c>
      <c r="H44" s="6" t="s">
        <v>11</v>
      </c>
    </row>
    <row r="45" customFormat="false" ht="15" hidden="false" customHeight="true" outlineLevel="0" collapsed="false">
      <c r="A45" s="3" t="n">
        <v>232</v>
      </c>
      <c r="B45" s="4" t="s">
        <v>60</v>
      </c>
      <c r="C45" s="4" t="s">
        <v>9</v>
      </c>
      <c r="D45" s="8" t="s">
        <v>57</v>
      </c>
      <c r="E45" s="4" t="n">
        <f aca="false">INDEX(Cartes!$F$2:$F$301,MATCH($A45,Cartes!$A$2:$A$301,0))</f>
        <v>58</v>
      </c>
      <c r="F45" s="4" t="n">
        <f aca="false">INDEX(Cartes!$G$2:$G$301,MATCH($A45,Cartes!$A$2:$A$301,0))</f>
        <v>21</v>
      </c>
      <c r="G45" s="4" t="n">
        <f aca="false">INDEX(Cartes!$H$2:$H$301,MATCH($A45,Cartes!$A$2:$A$301,0))</f>
        <v>12</v>
      </c>
      <c r="H45" s="6" t="s">
        <v>11</v>
      </c>
    </row>
    <row r="46" customFormat="false" ht="15" hidden="false" customHeight="true" outlineLevel="0" collapsed="false">
      <c r="A46" s="3" t="n">
        <v>226</v>
      </c>
      <c r="B46" s="4" t="s">
        <v>61</v>
      </c>
      <c r="C46" s="4" t="s">
        <v>9</v>
      </c>
      <c r="D46" s="8" t="s">
        <v>57</v>
      </c>
      <c r="E46" s="4" t="n">
        <f aca="false">INDEX(Cartes!$F$2:$F$301,MATCH($A46,Cartes!$A$2:$A$301,0))</f>
        <v>123</v>
      </c>
      <c r="F46" s="4" t="n">
        <f aca="false">INDEX(Cartes!$G$2:$G$301,MATCH($A46,Cartes!$A$2:$A$301,0))</f>
        <v>11</v>
      </c>
      <c r="G46" s="4" t="n">
        <f aca="false">INDEX(Cartes!$H$2:$H$301,MATCH($A46,Cartes!$A$2:$A$301,0))</f>
        <v>9</v>
      </c>
      <c r="H46" s="6" t="s">
        <v>11</v>
      </c>
    </row>
    <row r="47" customFormat="false" ht="15" hidden="false" customHeight="true" outlineLevel="0" collapsed="false">
      <c r="A47" s="3" t="n">
        <v>243</v>
      </c>
      <c r="B47" s="4" t="s">
        <v>62</v>
      </c>
      <c r="C47" s="4" t="s">
        <v>9</v>
      </c>
      <c r="D47" s="8" t="s">
        <v>57</v>
      </c>
      <c r="E47" s="4" t="n">
        <f aca="false">INDEX(Cartes!$F$2:$F$301,MATCH($A47,Cartes!$A$2:$A$301,0))</f>
        <v>75</v>
      </c>
      <c r="F47" s="4" t="n">
        <f aca="false">INDEX(Cartes!$G$2:$G$301,MATCH($A47,Cartes!$A$2:$A$301,0))</f>
        <v>16</v>
      </c>
      <c r="G47" s="4" t="n">
        <f aca="false">INDEX(Cartes!$H$2:$H$301,MATCH($A47,Cartes!$A$2:$A$301,0))</f>
        <v>15</v>
      </c>
      <c r="H47" s="6" t="s">
        <v>16</v>
      </c>
    </row>
    <row r="48" customFormat="false" ht="15" hidden="false" customHeight="true" outlineLevel="0" collapsed="false">
      <c r="A48" s="3" t="n">
        <v>244</v>
      </c>
      <c r="B48" s="4" t="s">
        <v>63</v>
      </c>
      <c r="C48" s="4" t="s">
        <v>9</v>
      </c>
      <c r="D48" s="8" t="s">
        <v>57</v>
      </c>
      <c r="E48" s="4" t="n">
        <f aca="false">INDEX(Cartes!$F$2:$F$301,MATCH($A48,Cartes!$A$2:$A$301,0))</f>
        <v>55</v>
      </c>
      <c r="F48" s="4" t="n">
        <f aca="false">INDEX(Cartes!$G$2:$G$301,MATCH($A48,Cartes!$A$2:$A$301,0))</f>
        <v>22</v>
      </c>
      <c r="G48" s="4" t="n">
        <f aca="false">INDEX(Cartes!$H$2:$H$301,MATCH($A48,Cartes!$A$2:$A$301,0))</f>
        <v>11</v>
      </c>
      <c r="H48" s="6" t="s">
        <v>20</v>
      </c>
    </row>
    <row r="49" customFormat="false" ht="15" hidden="false" customHeight="true" outlineLevel="0" collapsed="false">
      <c r="A49" s="3" t="n">
        <v>211</v>
      </c>
      <c r="B49" s="4" t="s">
        <v>64</v>
      </c>
      <c r="C49" s="4" t="s">
        <v>9</v>
      </c>
      <c r="D49" s="8" t="s">
        <v>57</v>
      </c>
      <c r="E49" s="4" t="n">
        <f aca="false">INDEX(Cartes!$F$2:$F$301,MATCH($A49,Cartes!$A$2:$A$301,0))</f>
        <v>76</v>
      </c>
      <c r="F49" s="4" t="n">
        <f aca="false">INDEX(Cartes!$G$2:$G$301,MATCH($A49,Cartes!$A$2:$A$301,0))</f>
        <v>15</v>
      </c>
      <c r="G49" s="4" t="n">
        <f aca="false">INDEX(Cartes!$H$2:$H$301,MATCH($A49,Cartes!$A$2:$A$301,0))</f>
        <v>13</v>
      </c>
      <c r="H49" s="6" t="s">
        <v>20</v>
      </c>
    </row>
    <row r="50" customFormat="false" ht="15" hidden="false" customHeight="true" outlineLevel="0" collapsed="false">
      <c r="A50" s="3" t="n">
        <v>212</v>
      </c>
      <c r="B50" s="4" t="s">
        <v>65</v>
      </c>
      <c r="C50" s="4" t="s">
        <v>9</v>
      </c>
      <c r="D50" s="8" t="s">
        <v>57</v>
      </c>
      <c r="E50" s="4" t="n">
        <f aca="false">INDEX(Cartes!$F$2:$F$301,MATCH($A50,Cartes!$A$2:$A$301,0))</f>
        <v>51</v>
      </c>
      <c r="F50" s="4" t="n">
        <f aca="false">INDEX(Cartes!$G$2:$G$301,MATCH($A50,Cartes!$A$2:$A$301,0))</f>
        <v>23</v>
      </c>
      <c r="G50" s="4" t="n">
        <f aca="false">INDEX(Cartes!$H$2:$H$301,MATCH($A50,Cartes!$A$2:$A$301,0))</f>
        <v>12</v>
      </c>
      <c r="H50" s="6" t="s">
        <v>13</v>
      </c>
    </row>
    <row r="51" customFormat="false" ht="15" hidden="false" customHeight="true" outlineLevel="0" collapsed="false">
      <c r="A51" s="3" t="n">
        <v>236</v>
      </c>
      <c r="B51" s="4" t="s">
        <v>66</v>
      </c>
      <c r="C51" s="4" t="s">
        <v>9</v>
      </c>
      <c r="D51" s="8" t="s">
        <v>57</v>
      </c>
      <c r="E51" s="4" t="n">
        <f aca="false">INDEX(Cartes!$F$2:$F$301,MATCH($A51,Cartes!$A$2:$A$301,0))</f>
        <v>56</v>
      </c>
      <c r="F51" s="4" t="n">
        <f aca="false">INDEX(Cartes!$G$2:$G$301,MATCH($A51,Cartes!$A$2:$A$301,0))</f>
        <v>22</v>
      </c>
      <c r="G51" s="4" t="n">
        <f aca="false">INDEX(Cartes!$H$2:$H$301,MATCH($A51,Cartes!$A$2:$A$301,0))</f>
        <v>11</v>
      </c>
      <c r="H51" s="6" t="s">
        <v>11</v>
      </c>
    </row>
    <row r="52" customFormat="false" ht="15" hidden="false" customHeight="true" outlineLevel="0" collapsed="false">
      <c r="A52" s="3" t="n">
        <v>216</v>
      </c>
      <c r="B52" s="4" t="s">
        <v>67</v>
      </c>
      <c r="C52" s="4" t="s">
        <v>9</v>
      </c>
      <c r="D52" s="8" t="s">
        <v>57</v>
      </c>
      <c r="E52" s="4" t="n">
        <f aca="false">INDEX(Cartes!$F$2:$F$301,MATCH($A52,Cartes!$A$2:$A$301,0))</f>
        <v>55</v>
      </c>
      <c r="F52" s="4" t="n">
        <f aca="false">INDEX(Cartes!$G$2:$G$301,MATCH($A52,Cartes!$A$2:$A$301,0))</f>
        <v>23</v>
      </c>
      <c r="G52" s="4" t="n">
        <f aca="false">INDEX(Cartes!$H$2:$H$301,MATCH($A52,Cartes!$A$2:$A$301,0))</f>
        <v>11</v>
      </c>
      <c r="H52" s="6" t="s">
        <v>16</v>
      </c>
    </row>
    <row r="53" customFormat="false" ht="15" hidden="false" customHeight="true" outlineLevel="0" collapsed="false">
      <c r="A53" s="3" t="n">
        <v>215</v>
      </c>
      <c r="B53" s="4" t="s">
        <v>68</v>
      </c>
      <c r="C53" s="4" t="s">
        <v>9</v>
      </c>
      <c r="D53" s="8" t="s">
        <v>57</v>
      </c>
      <c r="E53" s="4" t="n">
        <f aca="false">INDEX(Cartes!$F$2:$F$301,MATCH($A53,Cartes!$A$2:$A$301,0))</f>
        <v>81</v>
      </c>
      <c r="F53" s="4" t="n">
        <f aca="false">INDEX(Cartes!$G$2:$G$301,MATCH($A53,Cartes!$A$2:$A$301,0))</f>
        <v>14</v>
      </c>
      <c r="G53" s="4" t="n">
        <f aca="false">INDEX(Cartes!$H$2:$H$301,MATCH($A53,Cartes!$A$2:$A$301,0))</f>
        <v>15</v>
      </c>
      <c r="H53" s="6" t="s">
        <v>20</v>
      </c>
    </row>
    <row r="54" customFormat="false" ht="15" hidden="false" customHeight="true" outlineLevel="0" collapsed="false">
      <c r="A54" s="3" t="n">
        <v>260</v>
      </c>
      <c r="B54" s="4" t="s">
        <v>69</v>
      </c>
      <c r="C54" s="4" t="s">
        <v>9</v>
      </c>
      <c r="D54" s="8" t="s">
        <v>57</v>
      </c>
      <c r="E54" s="4" t="n">
        <f aca="false">INDEX(Cartes!$F$2:$F$301,MATCH($A54,Cartes!$A$2:$A$301,0))</f>
        <v>62</v>
      </c>
      <c r="F54" s="4" t="n">
        <f aca="false">INDEX(Cartes!$G$2:$G$301,MATCH($A54,Cartes!$A$2:$A$301,0))</f>
        <v>22</v>
      </c>
      <c r="G54" s="4" t="n">
        <f aca="false">INDEX(Cartes!$H$2:$H$301,MATCH($A54,Cartes!$A$2:$A$301,0))</f>
        <v>11</v>
      </c>
      <c r="H54" s="6" t="s">
        <v>20</v>
      </c>
    </row>
    <row r="55" customFormat="false" ht="15" hidden="false" customHeight="true" outlineLevel="0" collapsed="false">
      <c r="A55" s="3" t="n">
        <v>228</v>
      </c>
      <c r="B55" s="4" t="s">
        <v>70</v>
      </c>
      <c r="C55" s="4" t="s">
        <v>9</v>
      </c>
      <c r="D55" s="8" t="s">
        <v>57</v>
      </c>
      <c r="E55" s="4" t="n">
        <f aca="false">INDEX(Cartes!$F$2:$F$301,MATCH($A55,Cartes!$A$2:$A$301,0))</f>
        <v>59</v>
      </c>
      <c r="F55" s="4" t="n">
        <f aca="false">INDEX(Cartes!$G$2:$G$301,MATCH($A55,Cartes!$A$2:$A$301,0))</f>
        <v>22</v>
      </c>
      <c r="G55" s="4" t="n">
        <f aca="false">INDEX(Cartes!$H$2:$H$301,MATCH($A55,Cartes!$A$2:$A$301,0))</f>
        <v>11</v>
      </c>
      <c r="H55" s="6" t="s">
        <v>13</v>
      </c>
    </row>
    <row r="56" customFormat="false" ht="15" hidden="false" customHeight="true" outlineLevel="0" collapsed="false">
      <c r="A56" s="3" t="n">
        <v>257</v>
      </c>
      <c r="B56" s="4" t="s">
        <v>71</v>
      </c>
      <c r="C56" s="4" t="s">
        <v>9</v>
      </c>
      <c r="D56" s="8" t="s">
        <v>57</v>
      </c>
      <c r="E56" s="4" t="n">
        <f aca="false">INDEX(Cartes!$F$2:$F$301,MATCH($A56,Cartes!$A$2:$A$301,0))</f>
        <v>67</v>
      </c>
      <c r="F56" s="4" t="n">
        <f aca="false">INDEX(Cartes!$G$2:$G$301,MATCH($A56,Cartes!$A$2:$A$301,0))</f>
        <v>9</v>
      </c>
      <c r="G56" s="4" t="n">
        <f aca="false">INDEX(Cartes!$H$2:$H$301,MATCH($A56,Cartes!$A$2:$A$301,0))</f>
        <v>23</v>
      </c>
      <c r="H56" s="6" t="s">
        <v>20</v>
      </c>
    </row>
    <row r="57" customFormat="false" ht="15" hidden="false" customHeight="true" outlineLevel="0" collapsed="false">
      <c r="A57" s="3" t="n">
        <v>227</v>
      </c>
      <c r="B57" s="4" t="s">
        <v>72</v>
      </c>
      <c r="C57" s="4" t="s">
        <v>9</v>
      </c>
      <c r="D57" s="8" t="s">
        <v>57</v>
      </c>
      <c r="E57" s="4" t="n">
        <f aca="false">INDEX(Cartes!$F$2:$F$301,MATCH($A57,Cartes!$A$2:$A$301,0))</f>
        <v>84</v>
      </c>
      <c r="F57" s="4" t="n">
        <f aca="false">INDEX(Cartes!$G$2:$G$301,MATCH($A57,Cartes!$A$2:$A$301,0))</f>
        <v>16</v>
      </c>
      <c r="G57" s="4" t="n">
        <f aca="false">INDEX(Cartes!$H$2:$H$301,MATCH($A57,Cartes!$A$2:$A$301,0))</f>
        <v>14</v>
      </c>
      <c r="H57" s="6" t="s">
        <v>13</v>
      </c>
    </row>
    <row r="58" customFormat="false" ht="15" hidden="false" customHeight="true" outlineLevel="0" collapsed="false">
      <c r="A58" s="3" t="n">
        <v>246</v>
      </c>
      <c r="B58" s="4" t="s">
        <v>73</v>
      </c>
      <c r="C58" s="4" t="s">
        <v>9</v>
      </c>
      <c r="D58" s="8" t="s">
        <v>57</v>
      </c>
      <c r="E58" s="4" t="n">
        <f aca="false">INDEX(Cartes!$F$2:$F$301,MATCH($A58,Cartes!$A$2:$A$301,0))</f>
        <v>124</v>
      </c>
      <c r="F58" s="4" t="n">
        <f aca="false">INDEX(Cartes!$G$2:$G$301,MATCH($A58,Cartes!$A$2:$A$301,0))</f>
        <v>11</v>
      </c>
      <c r="G58" s="4" t="n">
        <f aca="false">INDEX(Cartes!$H$2:$H$301,MATCH($A58,Cartes!$A$2:$A$301,0))</f>
        <v>9</v>
      </c>
      <c r="H58" s="6" t="s">
        <v>20</v>
      </c>
    </row>
    <row r="59" customFormat="false" ht="15" hidden="false" customHeight="true" outlineLevel="0" collapsed="false">
      <c r="A59" s="3" t="n">
        <v>242</v>
      </c>
      <c r="B59" s="4" t="s">
        <v>74</v>
      </c>
      <c r="C59" s="4" t="s">
        <v>9</v>
      </c>
      <c r="D59" s="8" t="s">
        <v>57</v>
      </c>
      <c r="E59" s="4" t="n">
        <f aca="false">INDEX(Cartes!$F$2:$F$301,MATCH($A59,Cartes!$A$2:$A$301,0))</f>
        <v>127</v>
      </c>
      <c r="F59" s="4" t="n">
        <f aca="false">INDEX(Cartes!$G$2:$G$301,MATCH($A59,Cartes!$A$2:$A$301,0))</f>
        <v>10</v>
      </c>
      <c r="G59" s="4" t="n">
        <f aca="false">INDEX(Cartes!$H$2:$H$301,MATCH($A59,Cartes!$A$2:$A$301,0))</f>
        <v>10</v>
      </c>
      <c r="H59" s="6" t="s">
        <v>13</v>
      </c>
    </row>
    <row r="60" customFormat="false" ht="15" hidden="false" customHeight="true" outlineLevel="0" collapsed="false">
      <c r="A60" s="3" t="n">
        <v>245</v>
      </c>
      <c r="B60" s="4" t="s">
        <v>75</v>
      </c>
      <c r="C60" s="4" t="s">
        <v>9</v>
      </c>
      <c r="D60" s="8" t="s">
        <v>57</v>
      </c>
      <c r="E60" s="4" t="n">
        <f aca="false">INDEX(Cartes!$F$2:$F$301,MATCH($A60,Cartes!$A$2:$A$301,0))</f>
        <v>68</v>
      </c>
      <c r="F60" s="4" t="n">
        <f aca="false">INDEX(Cartes!$G$2:$G$301,MATCH($A60,Cartes!$A$2:$A$301,0))</f>
        <v>8</v>
      </c>
      <c r="G60" s="4" t="n">
        <f aca="false">INDEX(Cartes!$H$2:$H$301,MATCH($A60,Cartes!$A$2:$A$301,0))</f>
        <v>23</v>
      </c>
      <c r="H60" s="6" t="s">
        <v>13</v>
      </c>
    </row>
    <row r="61" customFormat="false" ht="15" hidden="false" customHeight="true" outlineLevel="0" collapsed="false">
      <c r="A61" s="3" t="n">
        <v>234</v>
      </c>
      <c r="B61" s="4" t="s">
        <v>76</v>
      </c>
      <c r="C61" s="4" t="s">
        <v>9</v>
      </c>
      <c r="D61" s="8" t="s">
        <v>57</v>
      </c>
      <c r="E61" s="4" t="n">
        <f aca="false">INDEX(Cartes!$F$2:$F$301,MATCH($A61,Cartes!$A$2:$A$301,0))</f>
        <v>119</v>
      </c>
      <c r="F61" s="4" t="n">
        <f aca="false">INDEX(Cartes!$G$2:$G$301,MATCH($A61,Cartes!$A$2:$A$301,0))</f>
        <v>11</v>
      </c>
      <c r="G61" s="4" t="n">
        <f aca="false">INDEX(Cartes!$H$2:$H$301,MATCH($A61,Cartes!$A$2:$A$301,0))</f>
        <v>9</v>
      </c>
      <c r="H61" s="6" t="s">
        <v>11</v>
      </c>
    </row>
    <row r="62" customFormat="false" ht="15" hidden="false" customHeight="true" outlineLevel="0" collapsed="false">
      <c r="A62" s="3" t="n">
        <v>229</v>
      </c>
      <c r="B62" s="4" t="s">
        <v>77</v>
      </c>
      <c r="C62" s="4" t="s">
        <v>9</v>
      </c>
      <c r="D62" s="8" t="s">
        <v>57</v>
      </c>
      <c r="E62" s="4" t="n">
        <f aca="false">INDEX(Cartes!$F$2:$F$301,MATCH($A62,Cartes!$A$2:$A$301,0))</f>
        <v>70</v>
      </c>
      <c r="F62" s="4" t="n">
        <f aca="false">INDEX(Cartes!$G$2:$G$301,MATCH($A62,Cartes!$A$2:$A$301,0))</f>
        <v>9</v>
      </c>
      <c r="G62" s="4" t="n">
        <f aca="false">INDEX(Cartes!$H$2:$H$301,MATCH($A62,Cartes!$A$2:$A$301,0))</f>
        <v>22</v>
      </c>
      <c r="H62" s="6" t="s">
        <v>13</v>
      </c>
    </row>
    <row r="63" customFormat="false" ht="15" hidden="false" customHeight="true" outlineLevel="0" collapsed="false">
      <c r="A63" s="3" t="n">
        <v>218</v>
      </c>
      <c r="B63" s="4" t="s">
        <v>78</v>
      </c>
      <c r="C63" s="4" t="s">
        <v>9</v>
      </c>
      <c r="D63" s="8" t="s">
        <v>57</v>
      </c>
      <c r="E63" s="4" t="n">
        <f aca="false">INDEX(Cartes!$F$2:$F$301,MATCH($A63,Cartes!$A$2:$A$301,0))</f>
        <v>126</v>
      </c>
      <c r="F63" s="4" t="n">
        <f aca="false">INDEX(Cartes!$G$2:$G$301,MATCH($A63,Cartes!$A$2:$A$301,0))</f>
        <v>13</v>
      </c>
      <c r="G63" s="4" t="n">
        <f aca="false">INDEX(Cartes!$H$2:$H$301,MATCH($A63,Cartes!$A$2:$A$301,0))</f>
        <v>8</v>
      </c>
      <c r="H63" s="6" t="s">
        <v>13</v>
      </c>
    </row>
    <row r="64" customFormat="false" ht="15" hidden="false" customHeight="true" outlineLevel="0" collapsed="false">
      <c r="A64" s="3" t="n">
        <v>248</v>
      </c>
      <c r="B64" s="4" t="s">
        <v>79</v>
      </c>
      <c r="C64" s="4" t="s">
        <v>9</v>
      </c>
      <c r="D64" s="8" t="s">
        <v>57</v>
      </c>
      <c r="E64" s="4" t="n">
        <f aca="false">INDEX(Cartes!$F$2:$F$301,MATCH($A64,Cartes!$A$2:$A$301,0))</f>
        <v>52</v>
      </c>
      <c r="F64" s="4" t="n">
        <f aca="false">INDEX(Cartes!$G$2:$G$301,MATCH($A64,Cartes!$A$2:$A$301,0))</f>
        <v>22</v>
      </c>
      <c r="G64" s="4" t="n">
        <f aca="false">INDEX(Cartes!$H$2:$H$301,MATCH($A64,Cartes!$A$2:$A$301,0))</f>
        <v>11</v>
      </c>
      <c r="H64" s="6" t="s">
        <v>20</v>
      </c>
    </row>
    <row r="65" customFormat="false" ht="15" hidden="false" customHeight="true" outlineLevel="0" collapsed="false">
      <c r="A65" s="3" t="n">
        <v>252</v>
      </c>
      <c r="B65" s="4" t="s">
        <v>80</v>
      </c>
      <c r="C65" s="4" t="s">
        <v>9</v>
      </c>
      <c r="D65" s="8" t="s">
        <v>57</v>
      </c>
      <c r="E65" s="4" t="n">
        <f aca="false">INDEX(Cartes!$F$2:$F$301,MATCH($A65,Cartes!$A$2:$A$301,0))</f>
        <v>59</v>
      </c>
      <c r="F65" s="4" t="n">
        <f aca="false">INDEX(Cartes!$G$2:$G$301,MATCH($A65,Cartes!$A$2:$A$301,0))</f>
        <v>22</v>
      </c>
      <c r="G65" s="4" t="n">
        <f aca="false">INDEX(Cartes!$H$2:$H$301,MATCH($A65,Cartes!$A$2:$A$301,0))</f>
        <v>10</v>
      </c>
      <c r="H65" s="6" t="s">
        <v>11</v>
      </c>
    </row>
    <row r="66" customFormat="false" ht="15" hidden="false" customHeight="true" outlineLevel="0" collapsed="false">
      <c r="A66" s="3" t="n">
        <v>224</v>
      </c>
      <c r="B66" s="4" t="s">
        <v>81</v>
      </c>
      <c r="C66" s="4" t="s">
        <v>9</v>
      </c>
      <c r="D66" s="8" t="s">
        <v>57</v>
      </c>
      <c r="E66" s="4" t="n">
        <f aca="false">INDEX(Cartes!$F$2:$F$301,MATCH($A66,Cartes!$A$2:$A$301,0))</f>
        <v>62</v>
      </c>
      <c r="F66" s="4" t="n">
        <f aca="false">INDEX(Cartes!$G$2:$G$301,MATCH($A66,Cartes!$A$2:$A$301,0))</f>
        <v>22</v>
      </c>
      <c r="G66" s="4" t="n">
        <f aca="false">INDEX(Cartes!$H$2:$H$301,MATCH($A66,Cartes!$A$2:$A$301,0))</f>
        <v>12</v>
      </c>
      <c r="H66" s="6" t="s">
        <v>11</v>
      </c>
    </row>
    <row r="67" customFormat="false" ht="15" hidden="false" customHeight="true" outlineLevel="0" collapsed="false">
      <c r="A67" s="3" t="n">
        <v>237</v>
      </c>
      <c r="B67" s="4" t="s">
        <v>82</v>
      </c>
      <c r="C67" s="4" t="s">
        <v>9</v>
      </c>
      <c r="D67" s="8" t="s">
        <v>57</v>
      </c>
      <c r="E67" s="4" t="n">
        <f aca="false">INDEX(Cartes!$F$2:$F$301,MATCH($A67,Cartes!$A$2:$A$301,0))</f>
        <v>63</v>
      </c>
      <c r="F67" s="4" t="n">
        <f aca="false">INDEX(Cartes!$G$2:$G$301,MATCH($A67,Cartes!$A$2:$A$301,0))</f>
        <v>10</v>
      </c>
      <c r="G67" s="4" t="n">
        <f aca="false">INDEX(Cartes!$H$2:$H$301,MATCH($A67,Cartes!$A$2:$A$301,0))</f>
        <v>22</v>
      </c>
      <c r="H67" s="6" t="s">
        <v>11</v>
      </c>
    </row>
    <row r="68" customFormat="false" ht="15" hidden="false" customHeight="true" outlineLevel="0" collapsed="false">
      <c r="A68" s="3" t="n">
        <v>230</v>
      </c>
      <c r="B68" s="4" t="s">
        <v>83</v>
      </c>
      <c r="C68" s="4" t="s">
        <v>9</v>
      </c>
      <c r="D68" s="8" t="s">
        <v>57</v>
      </c>
      <c r="E68" s="4" t="n">
        <f aca="false">INDEX(Cartes!$F$2:$F$301,MATCH($A68,Cartes!$A$2:$A$301,0))</f>
        <v>125</v>
      </c>
      <c r="F68" s="4" t="n">
        <f aca="false">INDEX(Cartes!$G$2:$G$301,MATCH($A68,Cartes!$A$2:$A$301,0))</f>
        <v>11</v>
      </c>
      <c r="G68" s="4" t="n">
        <f aca="false">INDEX(Cartes!$H$2:$H$301,MATCH($A68,Cartes!$A$2:$A$301,0))</f>
        <v>8</v>
      </c>
      <c r="H68" s="6" t="s">
        <v>11</v>
      </c>
    </row>
    <row r="69" customFormat="false" ht="15" hidden="false" customHeight="true" outlineLevel="0" collapsed="false">
      <c r="A69" s="3" t="n">
        <v>235</v>
      </c>
      <c r="B69" s="4" t="s">
        <v>84</v>
      </c>
      <c r="C69" s="4" t="s">
        <v>9</v>
      </c>
      <c r="D69" s="8" t="s">
        <v>57</v>
      </c>
      <c r="E69" s="4" t="n">
        <f aca="false">INDEX(Cartes!$F$2:$F$301,MATCH($A69,Cartes!$A$2:$A$301,0))</f>
        <v>73</v>
      </c>
      <c r="F69" s="4" t="n">
        <f aca="false">INDEX(Cartes!$G$2:$G$301,MATCH($A69,Cartes!$A$2:$A$301,0))</f>
        <v>15</v>
      </c>
      <c r="G69" s="4" t="n">
        <f aca="false">INDEX(Cartes!$H$2:$H$301,MATCH($A69,Cartes!$A$2:$A$301,0))</f>
        <v>15</v>
      </c>
      <c r="H69" s="6" t="s">
        <v>13</v>
      </c>
    </row>
    <row r="70" customFormat="false" ht="15" hidden="false" customHeight="true" outlineLevel="0" collapsed="false">
      <c r="A70" s="3" t="n">
        <v>256</v>
      </c>
      <c r="B70" s="4" t="s">
        <v>85</v>
      </c>
      <c r="C70" s="4" t="s">
        <v>9</v>
      </c>
      <c r="D70" s="8" t="s">
        <v>57</v>
      </c>
      <c r="E70" s="4" t="n">
        <f aca="false">INDEX(Cartes!$F$2:$F$301,MATCH($A70,Cartes!$A$2:$A$301,0))</f>
        <v>54</v>
      </c>
      <c r="F70" s="4" t="n">
        <f aca="false">INDEX(Cartes!$G$2:$G$301,MATCH($A70,Cartes!$A$2:$A$301,0))</f>
        <v>24</v>
      </c>
      <c r="G70" s="4" t="n">
        <f aca="false">INDEX(Cartes!$H$2:$H$301,MATCH($A70,Cartes!$A$2:$A$301,0))</f>
        <v>11</v>
      </c>
      <c r="H70" s="6" t="s">
        <v>16</v>
      </c>
    </row>
    <row r="71" customFormat="false" ht="15" hidden="false" customHeight="true" outlineLevel="0" collapsed="false">
      <c r="A71" s="3" t="n">
        <v>254</v>
      </c>
      <c r="B71" s="4" t="s">
        <v>86</v>
      </c>
      <c r="C71" s="4" t="s">
        <v>9</v>
      </c>
      <c r="D71" s="8" t="s">
        <v>57</v>
      </c>
      <c r="E71" s="4" t="n">
        <f aca="false">INDEX(Cartes!$F$2:$F$301,MATCH($A71,Cartes!$A$2:$A$301,0))</f>
        <v>118</v>
      </c>
      <c r="F71" s="4" t="n">
        <f aca="false">INDEX(Cartes!$G$2:$G$301,MATCH($A71,Cartes!$A$2:$A$301,0))</f>
        <v>11</v>
      </c>
      <c r="G71" s="4" t="n">
        <f aca="false">INDEX(Cartes!$H$2:$H$301,MATCH($A71,Cartes!$A$2:$A$301,0))</f>
        <v>10</v>
      </c>
      <c r="H71" s="6" t="s">
        <v>20</v>
      </c>
    </row>
    <row r="72" customFormat="false" ht="15" hidden="false" customHeight="true" outlineLevel="0" collapsed="false">
      <c r="A72" s="3" t="n">
        <v>238</v>
      </c>
      <c r="B72" s="4" t="s">
        <v>87</v>
      </c>
      <c r="C72" s="4" t="s">
        <v>9</v>
      </c>
      <c r="D72" s="8" t="s">
        <v>57</v>
      </c>
      <c r="E72" s="4" t="n">
        <f aca="false">INDEX(Cartes!$F$2:$F$301,MATCH($A72,Cartes!$A$2:$A$301,0))</f>
        <v>127</v>
      </c>
      <c r="F72" s="4" t="n">
        <f aca="false">INDEX(Cartes!$G$2:$G$301,MATCH($A72,Cartes!$A$2:$A$301,0))</f>
        <v>11</v>
      </c>
      <c r="G72" s="4" t="n">
        <f aca="false">INDEX(Cartes!$H$2:$H$301,MATCH($A72,Cartes!$A$2:$A$301,0))</f>
        <v>10</v>
      </c>
      <c r="H72" s="6" t="s">
        <v>11</v>
      </c>
    </row>
    <row r="73" customFormat="false" ht="15" hidden="false" customHeight="true" outlineLevel="0" collapsed="false">
      <c r="A73" s="3" t="n">
        <v>213</v>
      </c>
      <c r="B73" s="4" t="s">
        <v>88</v>
      </c>
      <c r="C73" s="4" t="s">
        <v>9</v>
      </c>
      <c r="D73" s="8" t="s">
        <v>57</v>
      </c>
      <c r="E73" s="4" t="n">
        <f aca="false">INDEX(Cartes!$F$2:$F$301,MATCH($A73,Cartes!$A$2:$A$301,0))</f>
        <v>66</v>
      </c>
      <c r="F73" s="4" t="n">
        <f aca="false">INDEX(Cartes!$G$2:$G$301,MATCH($A73,Cartes!$A$2:$A$301,0))</f>
        <v>10</v>
      </c>
      <c r="G73" s="4" t="n">
        <f aca="false">INDEX(Cartes!$H$2:$H$301,MATCH($A73,Cartes!$A$2:$A$301,0))</f>
        <v>23</v>
      </c>
      <c r="H73" s="6" t="s">
        <v>20</v>
      </c>
    </row>
    <row r="74" customFormat="false" ht="15" hidden="false" customHeight="true" outlineLevel="0" collapsed="false">
      <c r="A74" s="3" t="n">
        <v>255</v>
      </c>
      <c r="B74" s="4" t="s">
        <v>89</v>
      </c>
      <c r="C74" s="4" t="s">
        <v>9</v>
      </c>
      <c r="D74" s="8" t="s">
        <v>57</v>
      </c>
      <c r="E74" s="4" t="n">
        <f aca="false">INDEX(Cartes!$F$2:$F$301,MATCH($A74,Cartes!$A$2:$A$301,0))</f>
        <v>75</v>
      </c>
      <c r="F74" s="4" t="n">
        <f aca="false">INDEX(Cartes!$G$2:$G$301,MATCH($A74,Cartes!$A$2:$A$301,0))</f>
        <v>15</v>
      </c>
      <c r="G74" s="4" t="n">
        <f aca="false">INDEX(Cartes!$H$2:$H$301,MATCH($A74,Cartes!$A$2:$A$301,0))</f>
        <v>14</v>
      </c>
      <c r="H74" s="6" t="s">
        <v>11</v>
      </c>
    </row>
    <row r="75" customFormat="false" ht="15" hidden="false" customHeight="true" outlineLevel="0" collapsed="false">
      <c r="A75" s="3" t="n">
        <v>259</v>
      </c>
      <c r="B75" s="4" t="s">
        <v>90</v>
      </c>
      <c r="C75" s="4" t="s">
        <v>9</v>
      </c>
      <c r="D75" s="8" t="s">
        <v>57</v>
      </c>
      <c r="E75" s="4" t="n">
        <f aca="false">INDEX(Cartes!$F$2:$F$301,MATCH($A75,Cartes!$A$2:$A$301,0))</f>
        <v>77</v>
      </c>
      <c r="F75" s="4" t="n">
        <f aca="false">INDEX(Cartes!$G$2:$G$301,MATCH($A75,Cartes!$A$2:$A$301,0))</f>
        <v>14</v>
      </c>
      <c r="G75" s="4" t="n">
        <f aca="false">INDEX(Cartes!$H$2:$H$301,MATCH($A75,Cartes!$A$2:$A$301,0))</f>
        <v>16</v>
      </c>
      <c r="H75" s="6" t="s">
        <v>16</v>
      </c>
    </row>
    <row r="76" customFormat="false" ht="15" hidden="false" customHeight="true" outlineLevel="0" collapsed="false">
      <c r="A76" s="3" t="n">
        <v>220</v>
      </c>
      <c r="B76" s="4" t="s">
        <v>91</v>
      </c>
      <c r="C76" s="4" t="s">
        <v>23</v>
      </c>
      <c r="D76" s="8" t="s">
        <v>57</v>
      </c>
      <c r="E76" s="4" t="n">
        <f aca="false">INDEX(Cartes!$F$2:$F$301,MATCH($A76,Cartes!$A$2:$A$301,0))</f>
        <v>54</v>
      </c>
      <c r="F76" s="4" t="n">
        <f aca="false">INDEX(Cartes!$G$2:$G$301,MATCH($A76,Cartes!$A$2:$A$301,0))</f>
        <v>22</v>
      </c>
      <c r="G76" s="4" t="n">
        <f aca="false">INDEX(Cartes!$H$2:$H$301,MATCH($A76,Cartes!$A$2:$A$301,0))</f>
        <v>13</v>
      </c>
      <c r="H76" s="6" t="s">
        <v>11</v>
      </c>
    </row>
    <row r="77" customFormat="false" ht="15" hidden="false" customHeight="true" outlineLevel="0" collapsed="false">
      <c r="A77" s="3" t="n">
        <v>217</v>
      </c>
      <c r="B77" s="4" t="s">
        <v>92</v>
      </c>
      <c r="C77" s="4" t="s">
        <v>23</v>
      </c>
      <c r="D77" s="8" t="s">
        <v>57</v>
      </c>
      <c r="E77" s="4" t="n">
        <f aca="false">INDEX(Cartes!$F$2:$F$301,MATCH($A77,Cartes!$A$2:$A$301,0))</f>
        <v>73</v>
      </c>
      <c r="F77" s="4" t="n">
        <f aca="false">INDEX(Cartes!$G$2:$G$301,MATCH($A77,Cartes!$A$2:$A$301,0))</f>
        <v>8</v>
      </c>
      <c r="G77" s="4" t="n">
        <f aca="false">INDEX(Cartes!$H$2:$H$301,MATCH($A77,Cartes!$A$2:$A$301,0))</f>
        <v>22</v>
      </c>
      <c r="H77" s="6" t="s">
        <v>11</v>
      </c>
    </row>
    <row r="78" customFormat="false" ht="15" hidden="false" customHeight="true" outlineLevel="0" collapsed="false">
      <c r="A78" s="3" t="n">
        <v>249</v>
      </c>
      <c r="B78" s="4" t="s">
        <v>93</v>
      </c>
      <c r="C78" s="4" t="s">
        <v>23</v>
      </c>
      <c r="D78" s="8" t="s">
        <v>57</v>
      </c>
      <c r="E78" s="4" t="n">
        <f aca="false">INDEX(Cartes!$F$2:$F$301,MATCH($A78,Cartes!$A$2:$A$301,0))</f>
        <v>62</v>
      </c>
      <c r="F78" s="4" t="n">
        <f aca="false">INDEX(Cartes!$G$2:$G$301,MATCH($A78,Cartes!$A$2:$A$301,0))</f>
        <v>8</v>
      </c>
      <c r="G78" s="4" t="n">
        <f aca="false">INDEX(Cartes!$H$2:$H$301,MATCH($A78,Cartes!$A$2:$A$301,0))</f>
        <v>23</v>
      </c>
      <c r="H78" s="6" t="s">
        <v>16</v>
      </c>
    </row>
    <row r="79" customFormat="false" ht="15" hidden="false" customHeight="true" outlineLevel="0" collapsed="false">
      <c r="A79" s="3" t="n">
        <v>221</v>
      </c>
      <c r="B79" s="4" t="s">
        <v>94</v>
      </c>
      <c r="C79" s="4" t="s">
        <v>23</v>
      </c>
      <c r="D79" s="8" t="s">
        <v>57</v>
      </c>
      <c r="E79" s="4" t="n">
        <f aca="false">INDEX(Cartes!$F$2:$F$301,MATCH($A79,Cartes!$A$2:$A$301,0))</f>
        <v>70</v>
      </c>
      <c r="F79" s="4" t="n">
        <f aca="false">INDEX(Cartes!$G$2:$G$301,MATCH($A79,Cartes!$A$2:$A$301,0))</f>
        <v>9</v>
      </c>
      <c r="G79" s="4" t="n">
        <f aca="false">INDEX(Cartes!$H$2:$H$301,MATCH($A79,Cartes!$A$2:$A$301,0))</f>
        <v>21</v>
      </c>
      <c r="H79" s="6" t="s">
        <v>11</v>
      </c>
    </row>
    <row r="80" customFormat="false" ht="15" hidden="false" customHeight="true" outlineLevel="0" collapsed="false">
      <c r="A80" s="3" t="n">
        <v>251</v>
      </c>
      <c r="B80" s="4" t="s">
        <v>95</v>
      </c>
      <c r="C80" s="4" t="s">
        <v>23</v>
      </c>
      <c r="D80" s="8" t="s">
        <v>57</v>
      </c>
      <c r="E80" s="4" t="n">
        <f aca="false">INDEX(Cartes!$F$2:$F$301,MATCH($A80,Cartes!$A$2:$A$301,0))</f>
        <v>71</v>
      </c>
      <c r="F80" s="4" t="n">
        <f aca="false">INDEX(Cartes!$G$2:$G$301,MATCH($A80,Cartes!$A$2:$A$301,0))</f>
        <v>16</v>
      </c>
      <c r="G80" s="4" t="n">
        <f aca="false">INDEX(Cartes!$H$2:$H$301,MATCH($A80,Cartes!$A$2:$A$301,0))</f>
        <v>14</v>
      </c>
      <c r="H80" s="6" t="s">
        <v>13</v>
      </c>
    </row>
    <row r="81" customFormat="false" ht="15" hidden="false" customHeight="true" outlineLevel="0" collapsed="false">
      <c r="A81" s="3" t="n">
        <v>233</v>
      </c>
      <c r="B81" s="4" t="s">
        <v>96</v>
      </c>
      <c r="C81" s="4" t="s">
        <v>23</v>
      </c>
      <c r="D81" s="8" t="s">
        <v>57</v>
      </c>
      <c r="E81" s="4" t="n">
        <f aca="false">INDEX(Cartes!$F$2:$F$301,MATCH($A81,Cartes!$A$2:$A$301,0))</f>
        <v>63</v>
      </c>
      <c r="F81" s="4" t="n">
        <f aca="false">INDEX(Cartes!$G$2:$G$301,MATCH($A81,Cartes!$A$2:$A$301,0))</f>
        <v>9</v>
      </c>
      <c r="G81" s="4" t="n">
        <f aca="false">INDEX(Cartes!$H$2:$H$301,MATCH($A81,Cartes!$A$2:$A$301,0))</f>
        <v>22</v>
      </c>
      <c r="H81" s="6" t="s">
        <v>13</v>
      </c>
    </row>
    <row r="82" customFormat="false" ht="15" hidden="false" customHeight="true" outlineLevel="0" collapsed="false">
      <c r="A82" s="3" t="n">
        <v>253</v>
      </c>
      <c r="B82" s="4" t="s">
        <v>97</v>
      </c>
      <c r="C82" s="4" t="s">
        <v>23</v>
      </c>
      <c r="D82" s="8" t="s">
        <v>57</v>
      </c>
      <c r="E82" s="4" t="n">
        <f aca="false">INDEX(Cartes!$F$2:$F$301,MATCH($A82,Cartes!$A$2:$A$301,0))</f>
        <v>68</v>
      </c>
      <c r="F82" s="4" t="n">
        <f aca="false">INDEX(Cartes!$G$2:$G$301,MATCH($A82,Cartes!$A$2:$A$301,0))</f>
        <v>8</v>
      </c>
      <c r="G82" s="4" t="n">
        <f aca="false">INDEX(Cartes!$H$2:$H$301,MATCH($A82,Cartes!$A$2:$A$301,0))</f>
        <v>22</v>
      </c>
      <c r="H82" s="6" t="s">
        <v>16</v>
      </c>
    </row>
    <row r="83" customFormat="false" ht="15" hidden="false" customHeight="true" outlineLevel="0" collapsed="false">
      <c r="A83" s="3" t="n">
        <v>222</v>
      </c>
      <c r="B83" s="4" t="s">
        <v>98</v>
      </c>
      <c r="C83" s="4" t="s">
        <v>23</v>
      </c>
      <c r="D83" s="8" t="s">
        <v>57</v>
      </c>
      <c r="E83" s="4" t="n">
        <f aca="false">INDEX(Cartes!$F$2:$F$301,MATCH($A83,Cartes!$A$2:$A$301,0))</f>
        <v>121</v>
      </c>
      <c r="F83" s="4" t="n">
        <f aca="false">INDEX(Cartes!$G$2:$G$301,MATCH($A83,Cartes!$A$2:$A$301,0))</f>
        <v>12</v>
      </c>
      <c r="G83" s="4" t="n">
        <f aca="false">INDEX(Cartes!$H$2:$H$301,MATCH($A83,Cartes!$A$2:$A$301,0))</f>
        <v>8</v>
      </c>
      <c r="H83" s="6" t="s">
        <v>16</v>
      </c>
    </row>
    <row r="84" customFormat="false" ht="15" hidden="false" customHeight="true" outlineLevel="0" collapsed="false">
      <c r="A84" s="3" t="n">
        <v>225</v>
      </c>
      <c r="B84" s="4" t="s">
        <v>99</v>
      </c>
      <c r="C84" s="4" t="s">
        <v>23</v>
      </c>
      <c r="D84" s="8" t="s">
        <v>57</v>
      </c>
      <c r="E84" s="4" t="n">
        <f aca="false">INDEX(Cartes!$F$2:$F$301,MATCH($A84,Cartes!$A$2:$A$301,0))</f>
        <v>72</v>
      </c>
      <c r="F84" s="4" t="n">
        <f aca="false">INDEX(Cartes!$G$2:$G$301,MATCH($A84,Cartes!$A$2:$A$301,0))</f>
        <v>9</v>
      </c>
      <c r="G84" s="4" t="n">
        <f aca="false">INDEX(Cartes!$H$2:$H$301,MATCH($A84,Cartes!$A$2:$A$301,0))</f>
        <v>22</v>
      </c>
      <c r="H84" s="6" t="s">
        <v>13</v>
      </c>
    </row>
    <row r="85" customFormat="false" ht="15" hidden="false" customHeight="true" outlineLevel="0" collapsed="false">
      <c r="A85" s="3" t="n">
        <v>240</v>
      </c>
      <c r="B85" s="4" t="s">
        <v>100</v>
      </c>
      <c r="C85" s="4" t="s">
        <v>23</v>
      </c>
      <c r="D85" s="8" t="s">
        <v>57</v>
      </c>
      <c r="E85" s="4" t="n">
        <f aca="false">INDEX(Cartes!$F$2:$F$301,MATCH($A85,Cartes!$A$2:$A$301,0))</f>
        <v>54</v>
      </c>
      <c r="F85" s="4" t="n">
        <f aca="false">INDEX(Cartes!$G$2:$G$301,MATCH($A85,Cartes!$A$2:$A$301,0))</f>
        <v>23</v>
      </c>
      <c r="G85" s="4" t="n">
        <f aca="false">INDEX(Cartes!$H$2:$H$301,MATCH($A85,Cartes!$A$2:$A$301,0))</f>
        <v>12</v>
      </c>
      <c r="H85" s="6" t="s">
        <v>13</v>
      </c>
    </row>
    <row r="86" customFormat="false" ht="15" hidden="false" customHeight="true" outlineLevel="0" collapsed="false">
      <c r="A86" s="3" t="n">
        <v>223</v>
      </c>
      <c r="B86" s="4" t="s">
        <v>101</v>
      </c>
      <c r="C86" s="4" t="s">
        <v>23</v>
      </c>
      <c r="D86" s="8" t="s">
        <v>57</v>
      </c>
      <c r="E86" s="4" t="n">
        <f aca="false">INDEX(Cartes!$F$2:$F$301,MATCH($A86,Cartes!$A$2:$A$301,0))</f>
        <v>78</v>
      </c>
      <c r="F86" s="4" t="n">
        <f aca="false">INDEX(Cartes!$G$2:$G$301,MATCH($A86,Cartes!$A$2:$A$301,0))</f>
        <v>15</v>
      </c>
      <c r="G86" s="4" t="n">
        <f aca="false">INDEX(Cartes!$H$2:$H$301,MATCH($A86,Cartes!$A$2:$A$301,0))</f>
        <v>16</v>
      </c>
      <c r="H86" s="6" t="s">
        <v>13</v>
      </c>
    </row>
    <row r="87" customFormat="false" ht="15" hidden="false" customHeight="true" outlineLevel="0" collapsed="false">
      <c r="A87" s="3" t="n">
        <v>231</v>
      </c>
      <c r="B87" s="4" t="s">
        <v>102</v>
      </c>
      <c r="C87" s="4" t="s">
        <v>23</v>
      </c>
      <c r="D87" s="8" t="s">
        <v>57</v>
      </c>
      <c r="E87" s="4" t="n">
        <f aca="false">INDEX(Cartes!$F$2:$F$301,MATCH($A87,Cartes!$A$2:$A$301,0))</f>
        <v>73</v>
      </c>
      <c r="F87" s="4" t="n">
        <f aca="false">INDEX(Cartes!$G$2:$G$301,MATCH($A87,Cartes!$A$2:$A$301,0))</f>
        <v>14</v>
      </c>
      <c r="G87" s="4" t="n">
        <f aca="false">INDEX(Cartes!$H$2:$H$301,MATCH($A87,Cartes!$A$2:$A$301,0))</f>
        <v>15</v>
      </c>
      <c r="H87" s="6" t="s">
        <v>20</v>
      </c>
    </row>
    <row r="88" customFormat="false" ht="15" hidden="false" customHeight="true" outlineLevel="0" collapsed="false">
      <c r="A88" s="3" t="n">
        <v>219</v>
      </c>
      <c r="B88" s="4" t="s">
        <v>103</v>
      </c>
      <c r="C88" s="4" t="s">
        <v>23</v>
      </c>
      <c r="D88" s="8" t="s">
        <v>57</v>
      </c>
      <c r="E88" s="4" t="n">
        <f aca="false">INDEX(Cartes!$F$2:$F$301,MATCH($A88,Cartes!$A$2:$A$301,0))</f>
        <v>77</v>
      </c>
      <c r="F88" s="4" t="n">
        <f aca="false">INDEX(Cartes!$G$2:$G$301,MATCH($A88,Cartes!$A$2:$A$301,0))</f>
        <v>15</v>
      </c>
      <c r="G88" s="4" t="n">
        <f aca="false">INDEX(Cartes!$H$2:$H$301,MATCH($A88,Cartes!$A$2:$A$301,0))</f>
        <v>15</v>
      </c>
      <c r="H88" s="6" t="s">
        <v>16</v>
      </c>
    </row>
    <row r="89" customFormat="false" ht="15" hidden="false" customHeight="true" outlineLevel="0" collapsed="false">
      <c r="A89" s="3" t="n">
        <v>258</v>
      </c>
      <c r="B89" s="4" t="s">
        <v>104</v>
      </c>
      <c r="C89" s="4" t="s">
        <v>23</v>
      </c>
      <c r="D89" s="8" t="s">
        <v>57</v>
      </c>
      <c r="E89" s="4" t="n">
        <f aca="false">INDEX(Cartes!$F$2:$F$301,MATCH($A89,Cartes!$A$2:$A$301,0))</f>
        <v>117</v>
      </c>
      <c r="F89" s="4" t="n">
        <f aca="false">INDEX(Cartes!$G$2:$G$301,MATCH($A89,Cartes!$A$2:$A$301,0))</f>
        <v>12</v>
      </c>
      <c r="G89" s="4" t="n">
        <f aca="false">INDEX(Cartes!$H$2:$H$301,MATCH($A89,Cartes!$A$2:$A$301,0))</f>
        <v>10</v>
      </c>
      <c r="H89" s="6" t="s">
        <v>20</v>
      </c>
    </row>
    <row r="90" customFormat="false" ht="15" hidden="false" customHeight="true" outlineLevel="0" collapsed="false">
      <c r="A90" s="3" t="n">
        <v>241</v>
      </c>
      <c r="B90" s="4" t="s">
        <v>105</v>
      </c>
      <c r="C90" s="4" t="s">
        <v>23</v>
      </c>
      <c r="D90" s="8" t="s">
        <v>57</v>
      </c>
      <c r="E90" s="4" t="n">
        <f aca="false">INDEX(Cartes!$F$2:$F$301,MATCH($A90,Cartes!$A$2:$A$301,0))</f>
        <v>76</v>
      </c>
      <c r="F90" s="4" t="n">
        <f aca="false">INDEX(Cartes!$G$2:$G$301,MATCH($A90,Cartes!$A$2:$A$301,0))</f>
        <v>8</v>
      </c>
      <c r="G90" s="4" t="n">
        <f aca="false">INDEX(Cartes!$H$2:$H$301,MATCH($A90,Cartes!$A$2:$A$301,0))</f>
        <v>23</v>
      </c>
      <c r="H90" s="6" t="s">
        <v>13</v>
      </c>
    </row>
    <row r="91" customFormat="false" ht="15" hidden="false" customHeight="true" outlineLevel="0" collapsed="false">
      <c r="A91" s="3" t="n">
        <v>250</v>
      </c>
      <c r="B91" s="4" t="s">
        <v>106</v>
      </c>
      <c r="C91" s="4" t="s">
        <v>23</v>
      </c>
      <c r="D91" s="8" t="s">
        <v>57</v>
      </c>
      <c r="E91" s="4" t="n">
        <f aca="false">INDEX(Cartes!$F$2:$F$301,MATCH($A91,Cartes!$A$2:$A$301,0))</f>
        <v>131</v>
      </c>
      <c r="F91" s="4" t="n">
        <f aca="false">INDEX(Cartes!$G$2:$G$301,MATCH($A91,Cartes!$A$2:$A$301,0))</f>
        <v>11</v>
      </c>
      <c r="G91" s="4" t="n">
        <f aca="false">INDEX(Cartes!$H$2:$H$301,MATCH($A91,Cartes!$A$2:$A$301,0))</f>
        <v>9</v>
      </c>
      <c r="H91" s="6" t="s">
        <v>11</v>
      </c>
    </row>
    <row r="92" customFormat="false" ht="15" hidden="false" customHeight="true" outlineLevel="0" collapsed="false">
      <c r="A92" s="3" t="n">
        <v>153</v>
      </c>
      <c r="B92" s="4" t="s">
        <v>107</v>
      </c>
      <c r="C92" s="4" t="s">
        <v>9</v>
      </c>
      <c r="D92" s="9" t="s">
        <v>108</v>
      </c>
      <c r="E92" s="4" t="n">
        <f aca="false">INDEX(Cartes!$F$2:$F$301,MATCH($A92,Cartes!$A$2:$A$301,0))</f>
        <v>65</v>
      </c>
      <c r="F92" s="4" t="n">
        <f aca="false">INDEX(Cartes!$G$2:$G$301,MATCH($A92,Cartes!$A$2:$A$301,0))</f>
        <v>12</v>
      </c>
      <c r="G92" s="4" t="n">
        <f aca="false">INDEX(Cartes!$H$2:$H$301,MATCH($A92,Cartes!$A$2:$A$301,0))</f>
        <v>12</v>
      </c>
      <c r="H92" s="6" t="s">
        <v>20</v>
      </c>
    </row>
    <row r="93" customFormat="false" ht="15" hidden="false" customHeight="true" outlineLevel="0" collapsed="false">
      <c r="A93" s="3" t="n">
        <v>141</v>
      </c>
      <c r="B93" s="4" t="s">
        <v>109</v>
      </c>
      <c r="C93" s="4" t="s">
        <v>9</v>
      </c>
      <c r="D93" s="9" t="s">
        <v>108</v>
      </c>
      <c r="E93" s="4" t="n">
        <f aca="false">INDEX(Cartes!$F$2:$F$301,MATCH($A93,Cartes!$A$2:$A$301,0))</f>
        <v>66</v>
      </c>
      <c r="F93" s="4" t="n">
        <f aca="false">INDEX(Cartes!$G$2:$G$301,MATCH($A93,Cartes!$A$2:$A$301,0))</f>
        <v>12</v>
      </c>
      <c r="G93" s="4" t="n">
        <f aca="false">INDEX(Cartes!$H$2:$H$301,MATCH($A93,Cartes!$A$2:$A$301,0))</f>
        <v>11</v>
      </c>
      <c r="H93" s="6" t="s">
        <v>20</v>
      </c>
    </row>
    <row r="94" customFormat="false" ht="15" hidden="false" customHeight="true" outlineLevel="0" collapsed="false">
      <c r="A94" s="3" t="n">
        <v>159</v>
      </c>
      <c r="B94" s="4" t="s">
        <v>110</v>
      </c>
      <c r="C94" s="4" t="s">
        <v>9</v>
      </c>
      <c r="D94" s="9" t="s">
        <v>108</v>
      </c>
      <c r="E94" s="4" t="n">
        <f aca="false">INDEX(Cartes!$F$2:$F$301,MATCH($A94,Cartes!$A$2:$A$301,0))</f>
        <v>54</v>
      </c>
      <c r="F94" s="4" t="n">
        <f aca="false">INDEX(Cartes!$G$2:$G$301,MATCH($A94,Cartes!$A$2:$A$301,0))</f>
        <v>7</v>
      </c>
      <c r="G94" s="4" t="n">
        <f aca="false">INDEX(Cartes!$H$2:$H$301,MATCH($A94,Cartes!$A$2:$A$301,0))</f>
        <v>19</v>
      </c>
      <c r="H94" s="6" t="s">
        <v>11</v>
      </c>
    </row>
    <row r="95" customFormat="false" ht="15" hidden="false" customHeight="true" outlineLevel="0" collapsed="false">
      <c r="A95" s="3" t="n">
        <v>149</v>
      </c>
      <c r="B95" s="4" t="s">
        <v>111</v>
      </c>
      <c r="C95" s="4" t="s">
        <v>9</v>
      </c>
      <c r="D95" s="9" t="s">
        <v>108</v>
      </c>
      <c r="E95" s="4" t="n">
        <f aca="false">INDEX(Cartes!$F$2:$F$301,MATCH($A95,Cartes!$A$2:$A$301,0))</f>
        <v>67</v>
      </c>
      <c r="F95" s="4" t="n">
        <f aca="false">INDEX(Cartes!$G$2:$G$301,MATCH($A95,Cartes!$A$2:$A$301,0))</f>
        <v>12</v>
      </c>
      <c r="G95" s="4" t="n">
        <f aca="false">INDEX(Cartes!$H$2:$H$301,MATCH($A95,Cartes!$A$2:$A$301,0))</f>
        <v>12</v>
      </c>
      <c r="H95" s="6" t="s">
        <v>13</v>
      </c>
    </row>
    <row r="96" customFormat="false" ht="15" hidden="false" customHeight="true" outlineLevel="0" collapsed="false">
      <c r="A96" s="3" t="n">
        <v>188</v>
      </c>
      <c r="B96" s="4" t="s">
        <v>112</v>
      </c>
      <c r="C96" s="4" t="s">
        <v>9</v>
      </c>
      <c r="D96" s="9" t="s">
        <v>108</v>
      </c>
      <c r="E96" s="4" t="n">
        <f aca="false">INDEX(Cartes!$F$2:$F$301,MATCH($A96,Cartes!$A$2:$A$301,0))</f>
        <v>99</v>
      </c>
      <c r="F96" s="4" t="n">
        <f aca="false">INDEX(Cartes!$G$2:$G$301,MATCH($A96,Cartes!$A$2:$A$301,0))</f>
        <v>10</v>
      </c>
      <c r="G96" s="4" t="n">
        <f aca="false">INDEX(Cartes!$H$2:$H$301,MATCH($A96,Cartes!$A$2:$A$301,0))</f>
        <v>7</v>
      </c>
      <c r="H96" s="6" t="s">
        <v>13</v>
      </c>
    </row>
    <row r="97" customFormat="false" ht="15" hidden="false" customHeight="true" outlineLevel="0" collapsed="false">
      <c r="A97" s="3" t="n">
        <v>189</v>
      </c>
      <c r="B97" s="4" t="s">
        <v>113</v>
      </c>
      <c r="C97" s="4" t="s">
        <v>9</v>
      </c>
      <c r="D97" s="9" t="s">
        <v>108</v>
      </c>
      <c r="E97" s="4" t="n">
        <f aca="false">INDEX(Cartes!$F$2:$F$301,MATCH($A97,Cartes!$A$2:$A$301,0))</f>
        <v>62</v>
      </c>
      <c r="F97" s="4" t="n">
        <f aca="false">INDEX(Cartes!$G$2:$G$301,MATCH($A97,Cartes!$A$2:$A$301,0))</f>
        <v>13</v>
      </c>
      <c r="G97" s="4" t="n">
        <f aca="false">INDEX(Cartes!$H$2:$H$301,MATCH($A97,Cartes!$A$2:$A$301,0))</f>
        <v>12</v>
      </c>
      <c r="H97" s="6" t="s">
        <v>20</v>
      </c>
    </row>
    <row r="98" customFormat="false" ht="15" hidden="false" customHeight="true" outlineLevel="0" collapsed="false">
      <c r="A98" s="3" t="n">
        <v>207</v>
      </c>
      <c r="B98" s="4" t="s">
        <v>114</v>
      </c>
      <c r="C98" s="4" t="s">
        <v>9</v>
      </c>
      <c r="D98" s="9" t="s">
        <v>108</v>
      </c>
      <c r="E98" s="4" t="n">
        <f aca="false">INDEX(Cartes!$F$2:$F$301,MATCH($A98,Cartes!$A$2:$A$301,0))</f>
        <v>52</v>
      </c>
      <c r="F98" s="4" t="n">
        <f aca="false">INDEX(Cartes!$G$2:$G$301,MATCH($A98,Cartes!$A$2:$A$301,0))</f>
        <v>8</v>
      </c>
      <c r="G98" s="4" t="n">
        <f aca="false">INDEX(Cartes!$H$2:$H$301,MATCH($A98,Cartes!$A$2:$A$301,0))</f>
        <v>18</v>
      </c>
      <c r="H98" s="6" t="s">
        <v>20</v>
      </c>
    </row>
    <row r="99" customFormat="false" ht="15" hidden="false" customHeight="true" outlineLevel="0" collapsed="false">
      <c r="A99" s="3" t="n">
        <v>184</v>
      </c>
      <c r="B99" s="4" t="s">
        <v>115</v>
      </c>
      <c r="C99" s="4" t="s">
        <v>9</v>
      </c>
      <c r="D99" s="9" t="s">
        <v>108</v>
      </c>
      <c r="E99" s="4" t="n">
        <f aca="false">INDEX(Cartes!$F$2:$F$301,MATCH($A99,Cartes!$A$2:$A$301,0))</f>
        <v>105</v>
      </c>
      <c r="F99" s="4" t="n">
        <f aca="false">INDEX(Cartes!$G$2:$G$301,MATCH($A99,Cartes!$A$2:$A$301,0))</f>
        <v>9</v>
      </c>
      <c r="G99" s="4" t="n">
        <f aca="false">INDEX(Cartes!$H$2:$H$301,MATCH($A99,Cartes!$A$2:$A$301,0))</f>
        <v>8</v>
      </c>
      <c r="H99" s="6" t="s">
        <v>11</v>
      </c>
    </row>
    <row r="100" customFormat="false" ht="15" hidden="false" customHeight="true" outlineLevel="0" collapsed="false">
      <c r="A100" s="3" t="n">
        <v>167</v>
      </c>
      <c r="B100" s="4" t="s">
        <v>116</v>
      </c>
      <c r="C100" s="4" t="s">
        <v>9</v>
      </c>
      <c r="D100" s="9" t="s">
        <v>108</v>
      </c>
      <c r="E100" s="4" t="n">
        <f aca="false">INDEX(Cartes!$F$2:$F$301,MATCH($A100,Cartes!$A$2:$A$301,0))</f>
        <v>55</v>
      </c>
      <c r="F100" s="4" t="n">
        <f aca="false">INDEX(Cartes!$G$2:$G$301,MATCH($A100,Cartes!$A$2:$A$301,0))</f>
        <v>8</v>
      </c>
      <c r="G100" s="4" t="n">
        <f aca="false">INDEX(Cartes!$H$2:$H$301,MATCH($A100,Cartes!$A$2:$A$301,0))</f>
        <v>19</v>
      </c>
      <c r="H100" s="6" t="s">
        <v>16</v>
      </c>
    </row>
    <row r="101" customFormat="false" ht="15" hidden="false" customHeight="true" outlineLevel="0" collapsed="false">
      <c r="A101" s="3" t="n">
        <v>175</v>
      </c>
      <c r="B101" s="4" t="s">
        <v>117</v>
      </c>
      <c r="C101" s="4" t="s">
        <v>9</v>
      </c>
      <c r="D101" s="9" t="s">
        <v>108</v>
      </c>
      <c r="E101" s="4" t="n">
        <f aca="false">INDEX(Cartes!$F$2:$F$301,MATCH($A101,Cartes!$A$2:$A$301,0))</f>
        <v>56</v>
      </c>
      <c r="F101" s="4" t="n">
        <f aca="false">INDEX(Cartes!$G$2:$G$301,MATCH($A101,Cartes!$A$2:$A$301,0))</f>
        <v>7</v>
      </c>
      <c r="G101" s="4" t="n">
        <f aca="false">INDEX(Cartes!$H$2:$H$301,MATCH($A101,Cartes!$A$2:$A$301,0))</f>
        <v>19</v>
      </c>
      <c r="H101" s="6" t="s">
        <v>11</v>
      </c>
    </row>
    <row r="102" customFormat="false" ht="15" hidden="false" customHeight="true" outlineLevel="0" collapsed="false">
      <c r="A102" s="3" t="n">
        <v>140</v>
      </c>
      <c r="B102" s="4" t="s">
        <v>118</v>
      </c>
      <c r="C102" s="4" t="s">
        <v>9</v>
      </c>
      <c r="D102" s="9" t="s">
        <v>108</v>
      </c>
      <c r="E102" s="4" t="n">
        <f aca="false">INDEX(Cartes!$F$2:$F$301,MATCH($A102,Cartes!$A$2:$A$301,0))</f>
        <v>100</v>
      </c>
      <c r="F102" s="4" t="n">
        <f aca="false">INDEX(Cartes!$G$2:$G$301,MATCH($A102,Cartes!$A$2:$A$301,0))</f>
        <v>9</v>
      </c>
      <c r="G102" s="4" t="n">
        <f aca="false">INDEX(Cartes!$H$2:$H$301,MATCH($A102,Cartes!$A$2:$A$301,0))</f>
        <v>8</v>
      </c>
      <c r="H102" s="6" t="s">
        <v>16</v>
      </c>
    </row>
    <row r="103" customFormat="false" ht="15" hidden="false" customHeight="true" outlineLevel="0" collapsed="false">
      <c r="A103" s="3" t="n">
        <v>123</v>
      </c>
      <c r="B103" s="4" t="s">
        <v>119</v>
      </c>
      <c r="C103" s="4" t="s">
        <v>9</v>
      </c>
      <c r="D103" s="9" t="s">
        <v>108</v>
      </c>
      <c r="E103" s="4" t="n">
        <f aca="false">INDEX(Cartes!$F$2:$F$301,MATCH($A103,Cartes!$A$2:$A$301,0))</f>
        <v>54</v>
      </c>
      <c r="F103" s="4" t="n">
        <f aca="false">INDEX(Cartes!$G$2:$G$301,MATCH($A103,Cartes!$A$2:$A$301,0))</f>
        <v>7</v>
      </c>
      <c r="G103" s="4" t="n">
        <f aca="false">INDEX(Cartes!$H$2:$H$301,MATCH($A103,Cartes!$A$2:$A$301,0))</f>
        <v>19</v>
      </c>
      <c r="H103" s="6" t="s">
        <v>20</v>
      </c>
    </row>
    <row r="104" customFormat="false" ht="15" hidden="false" customHeight="true" outlineLevel="0" collapsed="false">
      <c r="A104" s="3" t="n">
        <v>208</v>
      </c>
      <c r="B104" s="4" t="s">
        <v>120</v>
      </c>
      <c r="C104" s="4" t="s">
        <v>9</v>
      </c>
      <c r="D104" s="9" t="s">
        <v>108</v>
      </c>
      <c r="E104" s="4" t="n">
        <f aca="false">INDEX(Cartes!$F$2:$F$301,MATCH($A104,Cartes!$A$2:$A$301,0))</f>
        <v>101</v>
      </c>
      <c r="F104" s="4" t="n">
        <f aca="false">INDEX(Cartes!$G$2:$G$301,MATCH($A104,Cartes!$A$2:$A$301,0))</f>
        <v>9</v>
      </c>
      <c r="G104" s="4" t="n">
        <f aca="false">INDEX(Cartes!$H$2:$H$301,MATCH($A104,Cartes!$A$2:$A$301,0))</f>
        <v>8</v>
      </c>
      <c r="H104" s="6" t="s">
        <v>16</v>
      </c>
    </row>
    <row r="105" customFormat="false" ht="15" hidden="false" customHeight="true" outlineLevel="0" collapsed="false">
      <c r="A105" s="3" t="n">
        <v>160</v>
      </c>
      <c r="B105" s="4" t="s">
        <v>121</v>
      </c>
      <c r="C105" s="4" t="s">
        <v>9</v>
      </c>
      <c r="D105" s="9" t="s">
        <v>108</v>
      </c>
      <c r="E105" s="4" t="n">
        <f aca="false">INDEX(Cartes!$F$2:$F$301,MATCH($A105,Cartes!$A$2:$A$301,0))</f>
        <v>104</v>
      </c>
      <c r="F105" s="4" t="n">
        <f aca="false">INDEX(Cartes!$G$2:$G$301,MATCH($A105,Cartes!$A$2:$A$301,0))</f>
        <v>9</v>
      </c>
      <c r="G105" s="4" t="n">
        <f aca="false">INDEX(Cartes!$H$2:$H$301,MATCH($A105,Cartes!$A$2:$A$301,0))</f>
        <v>7</v>
      </c>
      <c r="H105" s="6" t="s">
        <v>16</v>
      </c>
    </row>
    <row r="106" customFormat="false" ht="15" hidden="false" customHeight="true" outlineLevel="0" collapsed="false">
      <c r="A106" s="3" t="n">
        <v>174</v>
      </c>
      <c r="B106" s="4" t="s">
        <v>122</v>
      </c>
      <c r="C106" s="4" t="s">
        <v>9</v>
      </c>
      <c r="D106" s="9" t="s">
        <v>108</v>
      </c>
      <c r="E106" s="4" t="n">
        <f aca="false">INDEX(Cartes!$F$2:$F$301,MATCH($A106,Cartes!$A$2:$A$301,0))</f>
        <v>42</v>
      </c>
      <c r="F106" s="4" t="n">
        <f aca="false">INDEX(Cartes!$G$2:$G$301,MATCH($A106,Cartes!$A$2:$A$301,0))</f>
        <v>18</v>
      </c>
      <c r="G106" s="4" t="n">
        <f aca="false">INDEX(Cartes!$H$2:$H$301,MATCH($A106,Cartes!$A$2:$A$301,0))</f>
        <v>9</v>
      </c>
      <c r="H106" s="6" t="s">
        <v>20</v>
      </c>
    </row>
    <row r="107" customFormat="false" ht="15" hidden="false" customHeight="true" outlineLevel="0" collapsed="false">
      <c r="A107" s="3" t="n">
        <v>138</v>
      </c>
      <c r="B107" s="4" t="s">
        <v>123</v>
      </c>
      <c r="C107" s="4" t="s">
        <v>9</v>
      </c>
      <c r="D107" s="9" t="s">
        <v>108</v>
      </c>
      <c r="E107" s="4" t="n">
        <f aca="false">INDEX(Cartes!$F$2:$F$301,MATCH($A107,Cartes!$A$2:$A$301,0))</f>
        <v>42</v>
      </c>
      <c r="F107" s="4" t="n">
        <f aca="false">INDEX(Cartes!$G$2:$G$301,MATCH($A107,Cartes!$A$2:$A$301,0))</f>
        <v>18</v>
      </c>
      <c r="G107" s="4" t="n">
        <f aca="false">INDEX(Cartes!$H$2:$H$301,MATCH($A107,Cartes!$A$2:$A$301,0))</f>
        <v>10</v>
      </c>
      <c r="H107" s="6" t="s">
        <v>20</v>
      </c>
    </row>
    <row r="108" customFormat="false" ht="15" hidden="false" customHeight="true" outlineLevel="0" collapsed="false">
      <c r="A108" s="3" t="n">
        <v>177</v>
      </c>
      <c r="B108" s="4" t="s">
        <v>124</v>
      </c>
      <c r="C108" s="4" t="s">
        <v>9</v>
      </c>
      <c r="D108" s="9" t="s">
        <v>108</v>
      </c>
      <c r="E108" s="4" t="n">
        <f aca="false">INDEX(Cartes!$F$2:$F$301,MATCH($A108,Cartes!$A$2:$A$301,0))</f>
        <v>62</v>
      </c>
      <c r="F108" s="4" t="n">
        <f aca="false">INDEX(Cartes!$G$2:$G$301,MATCH($A108,Cartes!$A$2:$A$301,0))</f>
        <v>12</v>
      </c>
      <c r="G108" s="4" t="n">
        <f aca="false">INDEX(Cartes!$H$2:$H$301,MATCH($A108,Cartes!$A$2:$A$301,0))</f>
        <v>13</v>
      </c>
      <c r="H108" s="6" t="s">
        <v>13</v>
      </c>
    </row>
    <row r="109" customFormat="false" ht="15" hidden="false" customHeight="true" outlineLevel="0" collapsed="false">
      <c r="A109" s="3" t="n">
        <v>173</v>
      </c>
      <c r="B109" s="4" t="s">
        <v>125</v>
      </c>
      <c r="C109" s="4" t="s">
        <v>9</v>
      </c>
      <c r="D109" s="9" t="s">
        <v>108</v>
      </c>
      <c r="E109" s="4" t="n">
        <f aca="false">INDEX(Cartes!$F$2:$F$301,MATCH($A109,Cartes!$A$2:$A$301,0))</f>
        <v>61</v>
      </c>
      <c r="F109" s="4" t="n">
        <f aca="false">INDEX(Cartes!$G$2:$G$301,MATCH($A109,Cartes!$A$2:$A$301,0))</f>
        <v>13</v>
      </c>
      <c r="G109" s="4" t="n">
        <f aca="false">INDEX(Cartes!$H$2:$H$301,MATCH($A109,Cartes!$A$2:$A$301,0))</f>
        <v>12</v>
      </c>
      <c r="H109" s="6" t="s">
        <v>11</v>
      </c>
    </row>
    <row r="110" customFormat="false" ht="15" hidden="false" customHeight="true" outlineLevel="0" collapsed="false">
      <c r="A110" s="3" t="n">
        <v>147</v>
      </c>
      <c r="B110" s="4" t="s">
        <v>126</v>
      </c>
      <c r="C110" s="4" t="s">
        <v>9</v>
      </c>
      <c r="D110" s="9" t="s">
        <v>108</v>
      </c>
      <c r="E110" s="4" t="n">
        <f aca="false">INDEX(Cartes!$F$2:$F$301,MATCH($A110,Cartes!$A$2:$A$301,0))</f>
        <v>55</v>
      </c>
      <c r="F110" s="4" t="n">
        <f aca="false">INDEX(Cartes!$G$2:$G$301,MATCH($A110,Cartes!$A$2:$A$301,0))</f>
        <v>8</v>
      </c>
      <c r="G110" s="4" t="n">
        <f aca="false">INDEX(Cartes!$H$2:$H$301,MATCH($A110,Cartes!$A$2:$A$301,0))</f>
        <v>18</v>
      </c>
      <c r="H110" s="6" t="s">
        <v>11</v>
      </c>
    </row>
    <row r="111" customFormat="false" ht="15" hidden="false" customHeight="true" outlineLevel="0" collapsed="false">
      <c r="A111" s="3" t="n">
        <v>124</v>
      </c>
      <c r="B111" s="4" t="s">
        <v>127</v>
      </c>
      <c r="C111" s="4" t="s">
        <v>9</v>
      </c>
      <c r="D111" s="9" t="s">
        <v>108</v>
      </c>
      <c r="E111" s="4" t="n">
        <f aca="false">INDEX(Cartes!$F$2:$F$301,MATCH($A111,Cartes!$A$2:$A$301,0))</f>
        <v>104</v>
      </c>
      <c r="F111" s="4" t="n">
        <f aca="false">INDEX(Cartes!$G$2:$G$301,MATCH($A111,Cartes!$A$2:$A$301,0))</f>
        <v>8</v>
      </c>
      <c r="G111" s="4" t="n">
        <f aca="false">INDEX(Cartes!$H$2:$H$301,MATCH($A111,Cartes!$A$2:$A$301,0))</f>
        <v>7</v>
      </c>
      <c r="H111" s="6" t="s">
        <v>16</v>
      </c>
    </row>
    <row r="112" customFormat="false" ht="15" hidden="false" customHeight="true" outlineLevel="0" collapsed="false">
      <c r="A112" s="3" t="n">
        <v>168</v>
      </c>
      <c r="B112" s="4" t="s">
        <v>128</v>
      </c>
      <c r="C112" s="4" t="s">
        <v>9</v>
      </c>
      <c r="D112" s="9" t="s">
        <v>108</v>
      </c>
      <c r="E112" s="4" t="n">
        <f aca="false">INDEX(Cartes!$F$2:$F$301,MATCH($A112,Cartes!$A$2:$A$301,0))</f>
        <v>97</v>
      </c>
      <c r="F112" s="4" t="n">
        <f aca="false">INDEX(Cartes!$G$2:$G$301,MATCH($A112,Cartes!$A$2:$A$301,0))</f>
        <v>9</v>
      </c>
      <c r="G112" s="4" t="n">
        <f aca="false">INDEX(Cartes!$H$2:$H$301,MATCH($A112,Cartes!$A$2:$A$301,0))</f>
        <v>7</v>
      </c>
      <c r="H112" s="6" t="s">
        <v>13</v>
      </c>
    </row>
    <row r="113" customFormat="false" ht="15" hidden="false" customHeight="true" outlineLevel="0" collapsed="false">
      <c r="A113" s="3" t="n">
        <v>181</v>
      </c>
      <c r="B113" s="4" t="s">
        <v>129</v>
      </c>
      <c r="C113" s="4" t="s">
        <v>9</v>
      </c>
      <c r="D113" s="9" t="s">
        <v>108</v>
      </c>
      <c r="E113" s="4" t="n">
        <f aca="false">INDEX(Cartes!$F$2:$F$301,MATCH($A113,Cartes!$A$2:$A$301,0))</f>
        <v>65</v>
      </c>
      <c r="F113" s="4" t="n">
        <f aca="false">INDEX(Cartes!$G$2:$G$301,MATCH($A113,Cartes!$A$2:$A$301,0))</f>
        <v>11</v>
      </c>
      <c r="G113" s="4" t="n">
        <f aca="false">INDEX(Cartes!$H$2:$H$301,MATCH($A113,Cartes!$A$2:$A$301,0))</f>
        <v>13</v>
      </c>
      <c r="H113" s="6" t="s">
        <v>16</v>
      </c>
    </row>
    <row r="114" customFormat="false" ht="15" hidden="false" customHeight="true" outlineLevel="0" collapsed="false">
      <c r="A114" s="3" t="n">
        <v>129</v>
      </c>
      <c r="B114" s="4" t="s">
        <v>130</v>
      </c>
      <c r="C114" s="4" t="s">
        <v>9</v>
      </c>
      <c r="D114" s="9" t="s">
        <v>108</v>
      </c>
      <c r="E114" s="4" t="n">
        <f aca="false">INDEX(Cartes!$F$2:$F$301,MATCH($A114,Cartes!$A$2:$A$301,0))</f>
        <v>62</v>
      </c>
      <c r="F114" s="4" t="n">
        <f aca="false">INDEX(Cartes!$G$2:$G$301,MATCH($A114,Cartes!$A$2:$A$301,0))</f>
        <v>13</v>
      </c>
      <c r="G114" s="4" t="n">
        <f aca="false">INDEX(Cartes!$H$2:$H$301,MATCH($A114,Cartes!$A$2:$A$301,0))</f>
        <v>11</v>
      </c>
      <c r="H114" s="6" t="s">
        <v>20</v>
      </c>
    </row>
    <row r="115" customFormat="false" ht="15" hidden="false" customHeight="true" outlineLevel="0" collapsed="false">
      <c r="A115" s="3" t="n">
        <v>178</v>
      </c>
      <c r="B115" s="4" t="s">
        <v>131</v>
      </c>
      <c r="C115" s="4" t="s">
        <v>9</v>
      </c>
      <c r="D115" s="9" t="s">
        <v>108</v>
      </c>
      <c r="E115" s="4" t="n">
        <f aca="false">INDEX(Cartes!$F$2:$F$301,MATCH($A115,Cartes!$A$2:$A$301,0))</f>
        <v>50</v>
      </c>
      <c r="F115" s="4" t="n">
        <f aca="false">INDEX(Cartes!$G$2:$G$301,MATCH($A115,Cartes!$A$2:$A$301,0))</f>
        <v>18</v>
      </c>
      <c r="G115" s="4" t="n">
        <f aca="false">INDEX(Cartes!$H$2:$H$301,MATCH($A115,Cartes!$A$2:$A$301,0))</f>
        <v>9</v>
      </c>
      <c r="H115" s="6" t="s">
        <v>13</v>
      </c>
    </row>
    <row r="116" customFormat="false" ht="15" hidden="false" customHeight="true" outlineLevel="0" collapsed="false">
      <c r="A116" s="3" t="n">
        <v>148</v>
      </c>
      <c r="B116" s="4" t="s">
        <v>132</v>
      </c>
      <c r="C116" s="4" t="s">
        <v>9</v>
      </c>
      <c r="D116" s="9" t="s">
        <v>108</v>
      </c>
      <c r="E116" s="4" t="n">
        <f aca="false">INDEX(Cartes!$F$2:$F$301,MATCH($A116,Cartes!$A$2:$A$301,0))</f>
        <v>104</v>
      </c>
      <c r="F116" s="4" t="n">
        <f aca="false">INDEX(Cartes!$G$2:$G$301,MATCH($A116,Cartes!$A$2:$A$301,0))</f>
        <v>9</v>
      </c>
      <c r="G116" s="4" t="n">
        <f aca="false">INDEX(Cartes!$H$2:$H$301,MATCH($A116,Cartes!$A$2:$A$301,0))</f>
        <v>7</v>
      </c>
      <c r="H116" s="6" t="s">
        <v>11</v>
      </c>
    </row>
    <row r="117" customFormat="false" ht="15" hidden="false" customHeight="true" outlineLevel="0" collapsed="false">
      <c r="A117" s="3" t="n">
        <v>171</v>
      </c>
      <c r="B117" s="4" t="s">
        <v>133</v>
      </c>
      <c r="C117" s="4" t="s">
        <v>9</v>
      </c>
      <c r="D117" s="9" t="s">
        <v>108</v>
      </c>
      <c r="E117" s="4" t="n">
        <f aca="false">INDEX(Cartes!$F$2:$F$301,MATCH($A117,Cartes!$A$2:$A$301,0))</f>
        <v>52</v>
      </c>
      <c r="F117" s="4" t="n">
        <f aca="false">INDEX(Cartes!$G$2:$G$301,MATCH($A117,Cartes!$A$2:$A$301,0))</f>
        <v>7</v>
      </c>
      <c r="G117" s="4" t="n">
        <f aca="false">INDEX(Cartes!$H$2:$H$301,MATCH($A117,Cartes!$A$2:$A$301,0))</f>
        <v>20</v>
      </c>
      <c r="H117" s="6" t="s">
        <v>13</v>
      </c>
    </row>
    <row r="118" customFormat="false" ht="15" hidden="false" customHeight="true" outlineLevel="0" collapsed="false">
      <c r="A118" s="3" t="n">
        <v>197</v>
      </c>
      <c r="B118" s="4" t="s">
        <v>134</v>
      </c>
      <c r="C118" s="4" t="s">
        <v>9</v>
      </c>
      <c r="D118" s="9" t="s">
        <v>108</v>
      </c>
      <c r="E118" s="4" t="n">
        <f aca="false">INDEX(Cartes!$F$2:$F$301,MATCH($A118,Cartes!$A$2:$A$301,0))</f>
        <v>60</v>
      </c>
      <c r="F118" s="4" t="n">
        <f aca="false">INDEX(Cartes!$G$2:$G$301,MATCH($A118,Cartes!$A$2:$A$301,0))</f>
        <v>12</v>
      </c>
      <c r="G118" s="4" t="n">
        <f aca="false">INDEX(Cartes!$H$2:$H$301,MATCH($A118,Cartes!$A$2:$A$301,0))</f>
        <v>12</v>
      </c>
      <c r="H118" s="6" t="s">
        <v>13</v>
      </c>
    </row>
    <row r="119" customFormat="false" ht="15" hidden="false" customHeight="true" outlineLevel="0" collapsed="false">
      <c r="A119" s="3" t="n">
        <v>158</v>
      </c>
      <c r="B119" s="4" t="s">
        <v>135</v>
      </c>
      <c r="C119" s="4" t="s">
        <v>9</v>
      </c>
      <c r="D119" s="9" t="s">
        <v>108</v>
      </c>
      <c r="E119" s="4" t="n">
        <f aca="false">INDEX(Cartes!$F$2:$F$301,MATCH($A119,Cartes!$A$2:$A$301,0))</f>
        <v>48</v>
      </c>
      <c r="F119" s="4" t="n">
        <f aca="false">INDEX(Cartes!$G$2:$G$301,MATCH($A119,Cartes!$A$2:$A$301,0))</f>
        <v>18</v>
      </c>
      <c r="G119" s="4" t="n">
        <f aca="false">INDEX(Cartes!$H$2:$H$301,MATCH($A119,Cartes!$A$2:$A$301,0))</f>
        <v>8</v>
      </c>
      <c r="H119" s="6" t="s">
        <v>20</v>
      </c>
    </row>
    <row r="120" customFormat="false" ht="15" hidden="false" customHeight="true" outlineLevel="0" collapsed="false">
      <c r="A120" s="3" t="n">
        <v>131</v>
      </c>
      <c r="B120" s="4" t="s">
        <v>136</v>
      </c>
      <c r="C120" s="4" t="s">
        <v>9</v>
      </c>
      <c r="D120" s="9" t="s">
        <v>108</v>
      </c>
      <c r="E120" s="4" t="n">
        <f aca="false">INDEX(Cartes!$F$2:$F$301,MATCH($A120,Cartes!$A$2:$A$301,0))</f>
        <v>58</v>
      </c>
      <c r="F120" s="4" t="n">
        <f aca="false">INDEX(Cartes!$G$2:$G$301,MATCH($A120,Cartes!$A$2:$A$301,0))</f>
        <v>7</v>
      </c>
      <c r="G120" s="4" t="n">
        <f aca="false">INDEX(Cartes!$H$2:$H$301,MATCH($A120,Cartes!$A$2:$A$301,0))</f>
        <v>18</v>
      </c>
      <c r="H120" s="6" t="s">
        <v>20</v>
      </c>
    </row>
    <row r="121" customFormat="false" ht="15" hidden="false" customHeight="true" outlineLevel="0" collapsed="false">
      <c r="A121" s="3" t="n">
        <v>145</v>
      </c>
      <c r="B121" s="4" t="s">
        <v>137</v>
      </c>
      <c r="C121" s="4" t="s">
        <v>9</v>
      </c>
      <c r="D121" s="9" t="s">
        <v>108</v>
      </c>
      <c r="E121" s="4" t="n">
        <f aca="false">INDEX(Cartes!$F$2:$F$301,MATCH($A121,Cartes!$A$2:$A$301,0))</f>
        <v>63</v>
      </c>
      <c r="F121" s="4" t="n">
        <f aca="false">INDEX(Cartes!$G$2:$G$301,MATCH($A121,Cartes!$A$2:$A$301,0))</f>
        <v>12</v>
      </c>
      <c r="G121" s="4" t="n">
        <f aca="false">INDEX(Cartes!$H$2:$H$301,MATCH($A121,Cartes!$A$2:$A$301,0))</f>
        <v>12</v>
      </c>
      <c r="H121" s="6" t="s">
        <v>13</v>
      </c>
    </row>
    <row r="122" customFormat="false" ht="15" hidden="false" customHeight="true" outlineLevel="0" collapsed="false">
      <c r="A122" s="3" t="n">
        <v>156</v>
      </c>
      <c r="B122" s="4" t="s">
        <v>138</v>
      </c>
      <c r="C122" s="4" t="s">
        <v>9</v>
      </c>
      <c r="D122" s="9" t="s">
        <v>108</v>
      </c>
      <c r="E122" s="4" t="n">
        <f aca="false">INDEX(Cartes!$F$2:$F$301,MATCH($A122,Cartes!$A$2:$A$301,0))</f>
        <v>98</v>
      </c>
      <c r="F122" s="4" t="n">
        <f aca="false">INDEX(Cartes!$G$2:$G$301,MATCH($A122,Cartes!$A$2:$A$301,0))</f>
        <v>10</v>
      </c>
      <c r="G122" s="4" t="n">
        <f aca="false">INDEX(Cartes!$H$2:$H$301,MATCH($A122,Cartes!$A$2:$A$301,0))</f>
        <v>8</v>
      </c>
      <c r="H122" s="6" t="s">
        <v>13</v>
      </c>
    </row>
    <row r="123" customFormat="false" ht="15" hidden="false" customHeight="true" outlineLevel="0" collapsed="false">
      <c r="A123" s="3" t="n">
        <v>163</v>
      </c>
      <c r="B123" s="4" t="s">
        <v>139</v>
      </c>
      <c r="C123" s="4" t="s">
        <v>9</v>
      </c>
      <c r="D123" s="9" t="s">
        <v>108</v>
      </c>
      <c r="E123" s="4" t="n">
        <f aca="false">INDEX(Cartes!$F$2:$F$301,MATCH($A123,Cartes!$A$2:$A$301,0))</f>
        <v>51</v>
      </c>
      <c r="F123" s="4" t="n">
        <f aca="false">INDEX(Cartes!$G$2:$G$301,MATCH($A123,Cartes!$A$2:$A$301,0))</f>
        <v>8</v>
      </c>
      <c r="G123" s="4" t="n">
        <f aca="false">INDEX(Cartes!$H$2:$H$301,MATCH($A123,Cartes!$A$2:$A$301,0))</f>
        <v>20</v>
      </c>
      <c r="H123" s="6" t="s">
        <v>13</v>
      </c>
    </row>
    <row r="124" customFormat="false" ht="15" hidden="false" customHeight="true" outlineLevel="0" collapsed="false">
      <c r="A124" s="3" t="n">
        <v>200</v>
      </c>
      <c r="B124" s="4" t="s">
        <v>140</v>
      </c>
      <c r="C124" s="4" t="s">
        <v>9</v>
      </c>
      <c r="D124" s="9" t="s">
        <v>108</v>
      </c>
      <c r="E124" s="4" t="n">
        <f aca="false">INDEX(Cartes!$F$2:$F$301,MATCH($A124,Cartes!$A$2:$A$301,0))</f>
        <v>100</v>
      </c>
      <c r="F124" s="4" t="n">
        <f aca="false">INDEX(Cartes!$G$2:$G$301,MATCH($A124,Cartes!$A$2:$A$301,0))</f>
        <v>9</v>
      </c>
      <c r="G124" s="4" t="n">
        <f aca="false">INDEX(Cartes!$H$2:$H$301,MATCH($A124,Cartes!$A$2:$A$301,0))</f>
        <v>7</v>
      </c>
      <c r="H124" s="6" t="s">
        <v>20</v>
      </c>
    </row>
    <row r="125" customFormat="false" ht="15" hidden="false" customHeight="true" outlineLevel="0" collapsed="false">
      <c r="A125" s="3" t="n">
        <v>142</v>
      </c>
      <c r="B125" s="4" t="s">
        <v>141</v>
      </c>
      <c r="C125" s="4" t="s">
        <v>9</v>
      </c>
      <c r="D125" s="9" t="s">
        <v>108</v>
      </c>
      <c r="E125" s="4" t="n">
        <f aca="false">INDEX(Cartes!$F$2:$F$301,MATCH($A125,Cartes!$A$2:$A$301,0))</f>
        <v>49</v>
      </c>
      <c r="F125" s="4" t="n">
        <f aca="false">INDEX(Cartes!$G$2:$G$301,MATCH($A125,Cartes!$A$2:$A$301,0))</f>
        <v>17</v>
      </c>
      <c r="G125" s="4" t="n">
        <f aca="false">INDEX(Cartes!$H$2:$H$301,MATCH($A125,Cartes!$A$2:$A$301,0))</f>
        <v>10</v>
      </c>
      <c r="H125" s="6" t="s">
        <v>11</v>
      </c>
    </row>
    <row r="126" customFormat="false" ht="15" hidden="false" customHeight="true" outlineLevel="0" collapsed="false">
      <c r="A126" s="3" t="n">
        <v>199</v>
      </c>
      <c r="B126" s="4" t="s">
        <v>142</v>
      </c>
      <c r="C126" s="4" t="s">
        <v>9</v>
      </c>
      <c r="D126" s="9" t="s">
        <v>108</v>
      </c>
      <c r="E126" s="4" t="n">
        <f aca="false">INDEX(Cartes!$F$2:$F$301,MATCH($A126,Cartes!$A$2:$A$301,0))</f>
        <v>57</v>
      </c>
      <c r="F126" s="4" t="n">
        <f aca="false">INDEX(Cartes!$G$2:$G$301,MATCH($A126,Cartes!$A$2:$A$301,0))</f>
        <v>7</v>
      </c>
      <c r="G126" s="4" t="n">
        <f aca="false">INDEX(Cartes!$H$2:$H$301,MATCH($A126,Cartes!$A$2:$A$301,0))</f>
        <v>18</v>
      </c>
      <c r="H126" s="6" t="s">
        <v>11</v>
      </c>
    </row>
    <row r="127" customFormat="false" ht="15" hidden="false" customHeight="true" outlineLevel="0" collapsed="false">
      <c r="A127" s="3" t="n">
        <v>130</v>
      </c>
      <c r="B127" s="4" t="s">
        <v>143</v>
      </c>
      <c r="C127" s="4" t="s">
        <v>9</v>
      </c>
      <c r="D127" s="9" t="s">
        <v>108</v>
      </c>
      <c r="E127" s="4" t="n">
        <f aca="false">INDEX(Cartes!$F$2:$F$301,MATCH($A127,Cartes!$A$2:$A$301,0))</f>
        <v>46</v>
      </c>
      <c r="F127" s="4" t="n">
        <f aca="false">INDEX(Cartes!$G$2:$G$301,MATCH($A127,Cartes!$A$2:$A$301,0))</f>
        <v>18</v>
      </c>
      <c r="G127" s="4" t="n">
        <f aca="false">INDEX(Cartes!$H$2:$H$301,MATCH($A127,Cartes!$A$2:$A$301,0))</f>
        <v>10</v>
      </c>
      <c r="H127" s="6" t="s">
        <v>13</v>
      </c>
    </row>
    <row r="128" customFormat="false" ht="15" hidden="false" customHeight="true" outlineLevel="0" collapsed="false">
      <c r="A128" s="3" t="n">
        <v>180</v>
      </c>
      <c r="B128" s="4" t="s">
        <v>144</v>
      </c>
      <c r="C128" s="4" t="s">
        <v>9</v>
      </c>
      <c r="D128" s="9" t="s">
        <v>108</v>
      </c>
      <c r="E128" s="4" t="n">
        <f aca="false">INDEX(Cartes!$F$2:$F$301,MATCH($A128,Cartes!$A$2:$A$301,0))</f>
        <v>100</v>
      </c>
      <c r="F128" s="4" t="n">
        <f aca="false">INDEX(Cartes!$G$2:$G$301,MATCH($A128,Cartes!$A$2:$A$301,0))</f>
        <v>9</v>
      </c>
      <c r="G128" s="4" t="n">
        <f aca="false">INDEX(Cartes!$H$2:$H$301,MATCH($A128,Cartes!$A$2:$A$301,0))</f>
        <v>7</v>
      </c>
      <c r="H128" s="6" t="s">
        <v>11</v>
      </c>
    </row>
    <row r="129" customFormat="false" ht="15" hidden="false" customHeight="true" outlineLevel="0" collapsed="false">
      <c r="A129" s="3" t="n">
        <v>157</v>
      </c>
      <c r="B129" s="4" t="s">
        <v>145</v>
      </c>
      <c r="C129" s="4" t="s">
        <v>9</v>
      </c>
      <c r="D129" s="9" t="s">
        <v>108</v>
      </c>
      <c r="E129" s="4" t="n">
        <f aca="false">INDEX(Cartes!$F$2:$F$301,MATCH($A129,Cartes!$A$2:$A$301,0))</f>
        <v>58</v>
      </c>
      <c r="F129" s="4" t="n">
        <f aca="false">INDEX(Cartes!$G$2:$G$301,MATCH($A129,Cartes!$A$2:$A$301,0))</f>
        <v>13</v>
      </c>
      <c r="G129" s="4" t="n">
        <f aca="false">INDEX(Cartes!$H$2:$H$301,MATCH($A129,Cartes!$A$2:$A$301,0))</f>
        <v>12</v>
      </c>
      <c r="H129" s="6" t="s">
        <v>20</v>
      </c>
    </row>
    <row r="130" customFormat="false" ht="15" hidden="false" customHeight="true" outlineLevel="0" collapsed="false">
      <c r="A130" s="3" t="n">
        <v>128</v>
      </c>
      <c r="B130" s="4" t="s">
        <v>146</v>
      </c>
      <c r="C130" s="4" t="s">
        <v>9</v>
      </c>
      <c r="D130" s="9" t="s">
        <v>108</v>
      </c>
      <c r="E130" s="4" t="n">
        <f aca="false">INDEX(Cartes!$F$2:$F$301,MATCH($A130,Cartes!$A$2:$A$301,0))</f>
        <v>100</v>
      </c>
      <c r="F130" s="4" t="n">
        <f aca="false">INDEX(Cartes!$G$2:$G$301,MATCH($A130,Cartes!$A$2:$A$301,0))</f>
        <v>9</v>
      </c>
      <c r="G130" s="4" t="n">
        <f aca="false">INDEX(Cartes!$H$2:$H$301,MATCH($A130,Cartes!$A$2:$A$301,0))</f>
        <v>7</v>
      </c>
      <c r="H130" s="6" t="s">
        <v>16</v>
      </c>
    </row>
    <row r="131" customFormat="false" ht="15" hidden="false" customHeight="true" outlineLevel="0" collapsed="false">
      <c r="A131" s="3" t="n">
        <v>193</v>
      </c>
      <c r="B131" s="4" t="s">
        <v>147</v>
      </c>
      <c r="C131" s="4" t="s">
        <v>9</v>
      </c>
      <c r="D131" s="9" t="s">
        <v>108</v>
      </c>
      <c r="E131" s="4" t="n">
        <f aca="false">INDEX(Cartes!$F$2:$F$301,MATCH($A131,Cartes!$A$2:$A$301,0))</f>
        <v>67</v>
      </c>
      <c r="F131" s="4" t="n">
        <f aca="false">INDEX(Cartes!$G$2:$G$301,MATCH($A131,Cartes!$A$2:$A$301,0))</f>
        <v>12</v>
      </c>
      <c r="G131" s="4" t="n">
        <f aca="false">INDEX(Cartes!$H$2:$H$301,MATCH($A131,Cartes!$A$2:$A$301,0))</f>
        <v>12</v>
      </c>
      <c r="H131" s="6" t="s">
        <v>20</v>
      </c>
    </row>
    <row r="132" customFormat="false" ht="15" hidden="false" customHeight="true" outlineLevel="0" collapsed="false">
      <c r="A132" s="3" t="n">
        <v>206</v>
      </c>
      <c r="B132" s="4" t="s">
        <v>148</v>
      </c>
      <c r="C132" s="4" t="s">
        <v>9</v>
      </c>
      <c r="D132" s="9" t="s">
        <v>108</v>
      </c>
      <c r="E132" s="4" t="n">
        <f aca="false">INDEX(Cartes!$F$2:$F$301,MATCH($A132,Cartes!$A$2:$A$301,0))</f>
        <v>47</v>
      </c>
      <c r="F132" s="4" t="n">
        <f aca="false">INDEX(Cartes!$G$2:$G$301,MATCH($A132,Cartes!$A$2:$A$301,0))</f>
        <v>19</v>
      </c>
      <c r="G132" s="4" t="n">
        <f aca="false">INDEX(Cartes!$H$2:$H$301,MATCH($A132,Cartes!$A$2:$A$301,0))</f>
        <v>9</v>
      </c>
      <c r="H132" s="6" t="s">
        <v>13</v>
      </c>
    </row>
    <row r="133" customFormat="false" ht="15" hidden="false" customHeight="true" outlineLevel="0" collapsed="false">
      <c r="A133" s="3" t="n">
        <v>134</v>
      </c>
      <c r="B133" s="4" t="s">
        <v>149</v>
      </c>
      <c r="C133" s="4" t="s">
        <v>9</v>
      </c>
      <c r="D133" s="9" t="s">
        <v>108</v>
      </c>
      <c r="E133" s="4" t="n">
        <f aca="false">INDEX(Cartes!$F$2:$F$301,MATCH($A133,Cartes!$A$2:$A$301,0))</f>
        <v>45</v>
      </c>
      <c r="F133" s="4" t="n">
        <f aca="false">INDEX(Cartes!$G$2:$G$301,MATCH($A133,Cartes!$A$2:$A$301,0))</f>
        <v>19</v>
      </c>
      <c r="G133" s="4" t="n">
        <f aca="false">INDEX(Cartes!$H$2:$H$301,MATCH($A133,Cartes!$A$2:$A$301,0))</f>
        <v>10</v>
      </c>
      <c r="H133" s="6" t="s">
        <v>13</v>
      </c>
    </row>
    <row r="134" customFormat="false" ht="15" hidden="false" customHeight="true" outlineLevel="0" collapsed="false">
      <c r="A134" s="3" t="n">
        <v>122</v>
      </c>
      <c r="B134" s="4" t="s">
        <v>150</v>
      </c>
      <c r="C134" s="4" t="s">
        <v>9</v>
      </c>
      <c r="D134" s="9" t="s">
        <v>108</v>
      </c>
      <c r="E134" s="4" t="n">
        <f aca="false">INDEX(Cartes!$F$2:$F$301,MATCH($A134,Cartes!$A$2:$A$301,0))</f>
        <v>48</v>
      </c>
      <c r="F134" s="4" t="n">
        <f aca="false">INDEX(Cartes!$G$2:$G$301,MATCH($A134,Cartes!$A$2:$A$301,0))</f>
        <v>18</v>
      </c>
      <c r="G134" s="4" t="n">
        <f aca="false">INDEX(Cartes!$H$2:$H$301,MATCH($A134,Cartes!$A$2:$A$301,0))</f>
        <v>9</v>
      </c>
      <c r="H134" s="6" t="s">
        <v>11</v>
      </c>
    </row>
    <row r="135" customFormat="false" ht="15" hidden="false" customHeight="true" outlineLevel="0" collapsed="false">
      <c r="A135" s="3" t="n">
        <v>126</v>
      </c>
      <c r="B135" s="4" t="s">
        <v>151</v>
      </c>
      <c r="C135" s="4" t="s">
        <v>9</v>
      </c>
      <c r="D135" s="9" t="s">
        <v>108</v>
      </c>
      <c r="E135" s="4" t="n">
        <f aca="false">INDEX(Cartes!$F$2:$F$301,MATCH($A135,Cartes!$A$2:$A$301,0))</f>
        <v>44</v>
      </c>
      <c r="F135" s="4" t="n">
        <f aca="false">INDEX(Cartes!$G$2:$G$301,MATCH($A135,Cartes!$A$2:$A$301,0))</f>
        <v>17</v>
      </c>
      <c r="G135" s="4" t="n">
        <f aca="false">INDEX(Cartes!$H$2:$H$301,MATCH($A135,Cartes!$A$2:$A$301,0))</f>
        <v>10</v>
      </c>
      <c r="H135" s="6" t="s">
        <v>16</v>
      </c>
    </row>
    <row r="136" customFormat="false" ht="15" hidden="false" customHeight="true" outlineLevel="0" collapsed="false">
      <c r="A136" s="3" t="n">
        <v>210</v>
      </c>
      <c r="B136" s="4" t="s">
        <v>152</v>
      </c>
      <c r="C136" s="4" t="s">
        <v>9</v>
      </c>
      <c r="D136" s="9" t="s">
        <v>108</v>
      </c>
      <c r="E136" s="4" t="n">
        <f aca="false">INDEX(Cartes!$F$2:$F$301,MATCH($A136,Cartes!$A$2:$A$301,0))</f>
        <v>42</v>
      </c>
      <c r="F136" s="4" t="n">
        <f aca="false">INDEX(Cartes!$G$2:$G$301,MATCH($A136,Cartes!$A$2:$A$301,0))</f>
        <v>19</v>
      </c>
      <c r="G136" s="4" t="n">
        <f aca="false">INDEX(Cartes!$H$2:$H$301,MATCH($A136,Cartes!$A$2:$A$301,0))</f>
        <v>10</v>
      </c>
      <c r="H136" s="6" t="s">
        <v>11</v>
      </c>
    </row>
    <row r="137" customFormat="false" ht="15" hidden="false" customHeight="true" outlineLevel="0" collapsed="false">
      <c r="A137" s="3" t="n">
        <v>195</v>
      </c>
      <c r="B137" s="4" t="s">
        <v>153</v>
      </c>
      <c r="C137" s="4" t="s">
        <v>9</v>
      </c>
      <c r="D137" s="9" t="s">
        <v>108</v>
      </c>
      <c r="E137" s="4" t="n">
        <f aca="false">INDEX(Cartes!$F$2:$F$301,MATCH($A137,Cartes!$A$2:$A$301,0))</f>
        <v>59</v>
      </c>
      <c r="F137" s="4" t="n">
        <f aca="false">INDEX(Cartes!$G$2:$G$301,MATCH($A137,Cartes!$A$2:$A$301,0))</f>
        <v>7</v>
      </c>
      <c r="G137" s="4" t="n">
        <f aca="false">INDEX(Cartes!$H$2:$H$301,MATCH($A137,Cartes!$A$2:$A$301,0))</f>
        <v>19</v>
      </c>
      <c r="H137" s="6" t="s">
        <v>11</v>
      </c>
    </row>
    <row r="138" customFormat="false" ht="15" hidden="false" customHeight="true" outlineLevel="0" collapsed="false">
      <c r="A138" s="3" t="n">
        <v>139</v>
      </c>
      <c r="B138" s="4" t="s">
        <v>154</v>
      </c>
      <c r="C138" s="4" t="s">
        <v>9</v>
      </c>
      <c r="D138" s="9" t="s">
        <v>108</v>
      </c>
      <c r="E138" s="4" t="n">
        <f aca="false">INDEX(Cartes!$F$2:$F$301,MATCH($A138,Cartes!$A$2:$A$301,0))</f>
        <v>60</v>
      </c>
      <c r="F138" s="4" t="n">
        <f aca="false">INDEX(Cartes!$G$2:$G$301,MATCH($A138,Cartes!$A$2:$A$301,0))</f>
        <v>7</v>
      </c>
      <c r="G138" s="4" t="n">
        <f aca="false">INDEX(Cartes!$H$2:$H$301,MATCH($A138,Cartes!$A$2:$A$301,0))</f>
        <v>19</v>
      </c>
      <c r="H138" s="6" t="s">
        <v>13</v>
      </c>
    </row>
    <row r="139" customFormat="false" ht="15" hidden="false" customHeight="true" outlineLevel="0" collapsed="false">
      <c r="A139" s="3" t="n">
        <v>203</v>
      </c>
      <c r="B139" s="4" t="s">
        <v>155</v>
      </c>
      <c r="C139" s="4" t="s">
        <v>9</v>
      </c>
      <c r="D139" s="9" t="s">
        <v>108</v>
      </c>
      <c r="E139" s="4" t="n">
        <f aca="false">INDEX(Cartes!$F$2:$F$301,MATCH($A139,Cartes!$A$2:$A$301,0))</f>
        <v>52</v>
      </c>
      <c r="F139" s="4" t="n">
        <f aca="false">INDEX(Cartes!$G$2:$G$301,MATCH($A139,Cartes!$A$2:$A$301,0))</f>
        <v>7</v>
      </c>
      <c r="G139" s="4" t="n">
        <f aca="false">INDEX(Cartes!$H$2:$H$301,MATCH($A139,Cartes!$A$2:$A$301,0))</f>
        <v>19</v>
      </c>
      <c r="H139" s="6" t="s">
        <v>16</v>
      </c>
    </row>
    <row r="140" customFormat="false" ht="15" hidden="false" customHeight="true" outlineLevel="0" collapsed="false">
      <c r="A140" s="3" t="n">
        <v>151</v>
      </c>
      <c r="B140" s="4" t="s">
        <v>156</v>
      </c>
      <c r="C140" s="4" t="s">
        <v>9</v>
      </c>
      <c r="D140" s="9" t="s">
        <v>108</v>
      </c>
      <c r="E140" s="4" t="n">
        <f aca="false">INDEX(Cartes!$F$2:$F$301,MATCH($A140,Cartes!$A$2:$A$301,0))</f>
        <v>54</v>
      </c>
      <c r="F140" s="4" t="n">
        <f aca="false">INDEX(Cartes!$G$2:$G$301,MATCH($A140,Cartes!$A$2:$A$301,0))</f>
        <v>8</v>
      </c>
      <c r="G140" s="4" t="n">
        <f aca="false">INDEX(Cartes!$H$2:$H$301,MATCH($A140,Cartes!$A$2:$A$301,0))</f>
        <v>19</v>
      </c>
      <c r="H140" s="6" t="s">
        <v>11</v>
      </c>
    </row>
    <row r="141" customFormat="false" ht="15" hidden="false" customHeight="true" outlineLevel="0" collapsed="false">
      <c r="A141" s="3" t="n">
        <v>169</v>
      </c>
      <c r="B141" s="4" t="s">
        <v>157</v>
      </c>
      <c r="C141" s="4" t="s">
        <v>9</v>
      </c>
      <c r="D141" s="9" t="s">
        <v>108</v>
      </c>
      <c r="E141" s="4" t="n">
        <f aca="false">INDEX(Cartes!$F$2:$F$301,MATCH($A141,Cartes!$A$2:$A$301,0))</f>
        <v>67</v>
      </c>
      <c r="F141" s="4" t="n">
        <f aca="false">INDEX(Cartes!$G$2:$G$301,MATCH($A141,Cartes!$A$2:$A$301,0))</f>
        <v>12</v>
      </c>
      <c r="G141" s="4" t="n">
        <f aca="false">INDEX(Cartes!$H$2:$H$301,MATCH($A141,Cartes!$A$2:$A$301,0))</f>
        <v>12</v>
      </c>
      <c r="H141" s="6" t="s">
        <v>11</v>
      </c>
    </row>
    <row r="142" customFormat="false" ht="15" hidden="false" customHeight="true" outlineLevel="0" collapsed="false">
      <c r="A142" s="3" t="n">
        <v>125</v>
      </c>
      <c r="B142" s="4" t="s">
        <v>158</v>
      </c>
      <c r="C142" s="4" t="s">
        <v>9</v>
      </c>
      <c r="D142" s="9" t="s">
        <v>108</v>
      </c>
      <c r="E142" s="4" t="n">
        <f aca="false">INDEX(Cartes!$F$2:$F$301,MATCH($A142,Cartes!$A$2:$A$301,0))</f>
        <v>64</v>
      </c>
      <c r="F142" s="4" t="n">
        <f aca="false">INDEX(Cartes!$G$2:$G$301,MATCH($A142,Cartes!$A$2:$A$301,0))</f>
        <v>13</v>
      </c>
      <c r="G142" s="4" t="n">
        <f aca="false">INDEX(Cartes!$H$2:$H$301,MATCH($A142,Cartes!$A$2:$A$301,0))</f>
        <v>11</v>
      </c>
      <c r="H142" s="6" t="s">
        <v>13</v>
      </c>
    </row>
    <row r="143" customFormat="false" ht="15" hidden="false" customHeight="true" outlineLevel="0" collapsed="false">
      <c r="A143" s="3" t="n">
        <v>194</v>
      </c>
      <c r="B143" s="4" t="s">
        <v>159</v>
      </c>
      <c r="C143" s="4" t="s">
        <v>9</v>
      </c>
      <c r="D143" s="9" t="s">
        <v>108</v>
      </c>
      <c r="E143" s="4" t="n">
        <f aca="false">INDEX(Cartes!$F$2:$F$301,MATCH($A143,Cartes!$A$2:$A$301,0))</f>
        <v>44</v>
      </c>
      <c r="F143" s="4" t="n">
        <f aca="false">INDEX(Cartes!$G$2:$G$301,MATCH($A143,Cartes!$A$2:$A$301,0))</f>
        <v>18</v>
      </c>
      <c r="G143" s="4" t="n">
        <f aca="false">INDEX(Cartes!$H$2:$H$301,MATCH($A143,Cartes!$A$2:$A$301,0))</f>
        <v>9</v>
      </c>
      <c r="H143" s="6" t="s">
        <v>16</v>
      </c>
    </row>
    <row r="144" customFormat="false" ht="15" hidden="false" customHeight="true" outlineLevel="0" collapsed="false">
      <c r="A144" s="3" t="n">
        <v>198</v>
      </c>
      <c r="B144" s="4" t="s">
        <v>160</v>
      </c>
      <c r="C144" s="4" t="s">
        <v>9</v>
      </c>
      <c r="D144" s="9" t="s">
        <v>108</v>
      </c>
      <c r="E144" s="4" t="n">
        <f aca="false">INDEX(Cartes!$F$2:$F$301,MATCH($A144,Cartes!$A$2:$A$301,0))</f>
        <v>44</v>
      </c>
      <c r="F144" s="4" t="n">
        <f aca="false">INDEX(Cartes!$G$2:$G$301,MATCH($A144,Cartes!$A$2:$A$301,0))</f>
        <v>19</v>
      </c>
      <c r="G144" s="4" t="n">
        <f aca="false">INDEX(Cartes!$H$2:$H$301,MATCH($A144,Cartes!$A$2:$A$301,0))</f>
        <v>9</v>
      </c>
      <c r="H144" s="6" t="s">
        <v>11</v>
      </c>
    </row>
    <row r="145" customFormat="false" ht="15" hidden="false" customHeight="true" outlineLevel="0" collapsed="false">
      <c r="A145" s="3" t="n">
        <v>182</v>
      </c>
      <c r="B145" s="4" t="s">
        <v>161</v>
      </c>
      <c r="C145" s="4" t="s">
        <v>9</v>
      </c>
      <c r="D145" s="9" t="s">
        <v>108</v>
      </c>
      <c r="E145" s="4" t="n">
        <f aca="false">INDEX(Cartes!$F$2:$F$301,MATCH($A145,Cartes!$A$2:$A$301,0))</f>
        <v>51</v>
      </c>
      <c r="F145" s="4" t="n">
        <f aca="false">INDEX(Cartes!$G$2:$G$301,MATCH($A145,Cartes!$A$2:$A$301,0))</f>
        <v>18</v>
      </c>
      <c r="G145" s="4" t="n">
        <f aca="false">INDEX(Cartes!$H$2:$H$301,MATCH($A145,Cartes!$A$2:$A$301,0))</f>
        <v>10</v>
      </c>
      <c r="H145" s="6" t="s">
        <v>16</v>
      </c>
    </row>
    <row r="146" customFormat="false" ht="15" hidden="false" customHeight="true" outlineLevel="0" collapsed="false">
      <c r="A146" s="3" t="n">
        <v>187</v>
      </c>
      <c r="B146" s="4" t="s">
        <v>162</v>
      </c>
      <c r="C146" s="4" t="s">
        <v>9</v>
      </c>
      <c r="D146" s="9" t="s">
        <v>108</v>
      </c>
      <c r="E146" s="4" t="n">
        <f aca="false">INDEX(Cartes!$F$2:$F$301,MATCH($A146,Cartes!$A$2:$A$301,0))</f>
        <v>49</v>
      </c>
      <c r="F146" s="4" t="n">
        <f aca="false">INDEX(Cartes!$G$2:$G$301,MATCH($A146,Cartes!$A$2:$A$301,0))</f>
        <v>8</v>
      </c>
      <c r="G146" s="4" t="n">
        <f aca="false">INDEX(Cartes!$H$2:$H$301,MATCH($A146,Cartes!$A$2:$A$301,0))</f>
        <v>18</v>
      </c>
      <c r="H146" s="6" t="s">
        <v>11</v>
      </c>
    </row>
    <row r="147" customFormat="false" ht="15" hidden="false" customHeight="true" outlineLevel="0" collapsed="false">
      <c r="A147" s="3" t="n">
        <v>137</v>
      </c>
      <c r="B147" s="4" t="s">
        <v>163</v>
      </c>
      <c r="C147" s="4" t="s">
        <v>9</v>
      </c>
      <c r="D147" s="9" t="s">
        <v>108</v>
      </c>
      <c r="E147" s="4" t="n">
        <f aca="false">INDEX(Cartes!$F$2:$F$301,MATCH($A147,Cartes!$A$2:$A$301,0))</f>
        <v>62</v>
      </c>
      <c r="F147" s="4" t="n">
        <f aca="false">INDEX(Cartes!$G$2:$G$301,MATCH($A147,Cartes!$A$2:$A$301,0))</f>
        <v>12</v>
      </c>
      <c r="G147" s="4" t="n">
        <f aca="false">INDEX(Cartes!$H$2:$H$301,MATCH($A147,Cartes!$A$2:$A$301,0))</f>
        <v>12</v>
      </c>
      <c r="H147" s="6" t="s">
        <v>13</v>
      </c>
    </row>
    <row r="148" customFormat="false" ht="15" hidden="false" customHeight="true" outlineLevel="0" collapsed="false">
      <c r="A148" s="3" t="n">
        <v>154</v>
      </c>
      <c r="B148" s="4" t="s">
        <v>164</v>
      </c>
      <c r="C148" s="4" t="s">
        <v>9</v>
      </c>
      <c r="D148" s="9" t="s">
        <v>108</v>
      </c>
      <c r="E148" s="4" t="n">
        <f aca="false">INDEX(Cartes!$F$2:$F$301,MATCH($A148,Cartes!$A$2:$A$301,0))</f>
        <v>43</v>
      </c>
      <c r="F148" s="4" t="n">
        <f aca="false">INDEX(Cartes!$G$2:$G$301,MATCH($A148,Cartes!$A$2:$A$301,0))</f>
        <v>19</v>
      </c>
      <c r="G148" s="4" t="n">
        <f aca="false">INDEX(Cartes!$H$2:$H$301,MATCH($A148,Cartes!$A$2:$A$301,0))</f>
        <v>10</v>
      </c>
      <c r="H148" s="6" t="s">
        <v>16</v>
      </c>
    </row>
    <row r="149" customFormat="false" ht="15" hidden="false" customHeight="true" outlineLevel="0" collapsed="false">
      <c r="A149" s="3" t="n">
        <v>152</v>
      </c>
      <c r="B149" s="4" t="s">
        <v>165</v>
      </c>
      <c r="C149" s="4" t="s">
        <v>9</v>
      </c>
      <c r="D149" s="9" t="s">
        <v>108</v>
      </c>
      <c r="E149" s="4" t="n">
        <f aca="false">INDEX(Cartes!$F$2:$F$301,MATCH($A149,Cartes!$A$2:$A$301,0))</f>
        <v>101</v>
      </c>
      <c r="F149" s="4" t="n">
        <f aca="false">INDEX(Cartes!$G$2:$G$301,MATCH($A149,Cartes!$A$2:$A$301,0))</f>
        <v>10</v>
      </c>
      <c r="G149" s="4" t="n">
        <f aca="false">INDEX(Cartes!$H$2:$H$301,MATCH($A149,Cartes!$A$2:$A$301,0))</f>
        <v>8</v>
      </c>
      <c r="H149" s="6" t="s">
        <v>13</v>
      </c>
    </row>
    <row r="150" customFormat="false" ht="15" hidden="false" customHeight="true" outlineLevel="0" collapsed="false">
      <c r="A150" s="3" t="n">
        <v>170</v>
      </c>
      <c r="B150" s="4" t="s">
        <v>166</v>
      </c>
      <c r="C150" s="4" t="s">
        <v>9</v>
      </c>
      <c r="D150" s="9" t="s">
        <v>108</v>
      </c>
      <c r="E150" s="4" t="n">
        <f aca="false">INDEX(Cartes!$F$2:$F$301,MATCH($A150,Cartes!$A$2:$A$301,0))</f>
        <v>43</v>
      </c>
      <c r="F150" s="4" t="n">
        <f aca="false">INDEX(Cartes!$G$2:$G$301,MATCH($A150,Cartes!$A$2:$A$301,0))</f>
        <v>18</v>
      </c>
      <c r="G150" s="4" t="n">
        <f aca="false">INDEX(Cartes!$H$2:$H$301,MATCH($A150,Cartes!$A$2:$A$301,0))</f>
        <v>10</v>
      </c>
      <c r="H150" s="6" t="s">
        <v>20</v>
      </c>
    </row>
    <row r="151" customFormat="false" ht="15" hidden="false" customHeight="true" outlineLevel="0" collapsed="false">
      <c r="A151" s="3" t="n">
        <v>190</v>
      </c>
      <c r="B151" s="4" t="s">
        <v>167</v>
      </c>
      <c r="C151" s="4" t="s">
        <v>9</v>
      </c>
      <c r="D151" s="9" t="s">
        <v>108</v>
      </c>
      <c r="E151" s="4" t="n">
        <f aca="false">INDEX(Cartes!$F$2:$F$301,MATCH($A151,Cartes!$A$2:$A$301,0))</f>
        <v>42</v>
      </c>
      <c r="F151" s="4" t="n">
        <f aca="false">INDEX(Cartes!$G$2:$G$301,MATCH($A151,Cartes!$A$2:$A$301,0))</f>
        <v>20</v>
      </c>
      <c r="G151" s="4" t="n">
        <f aca="false">INDEX(Cartes!$H$2:$H$301,MATCH($A151,Cartes!$A$2:$A$301,0))</f>
        <v>9</v>
      </c>
      <c r="H151" s="6" t="s">
        <v>16</v>
      </c>
    </row>
    <row r="152" customFormat="false" ht="15" hidden="false" customHeight="true" outlineLevel="0" collapsed="false">
      <c r="A152" s="3" t="n">
        <v>136</v>
      </c>
      <c r="B152" s="4" t="s">
        <v>168</v>
      </c>
      <c r="C152" s="4" t="s">
        <v>23</v>
      </c>
      <c r="D152" s="9" t="s">
        <v>108</v>
      </c>
      <c r="E152" s="4" t="n">
        <f aca="false">INDEX(Cartes!$F$2:$F$301,MATCH($A152,Cartes!$A$2:$A$301,0))</f>
        <v>95</v>
      </c>
      <c r="F152" s="4" t="n">
        <f aca="false">INDEX(Cartes!$G$2:$G$301,MATCH($A152,Cartes!$A$2:$A$301,0))</f>
        <v>9</v>
      </c>
      <c r="G152" s="4" t="n">
        <f aca="false">INDEX(Cartes!$H$2:$H$301,MATCH($A152,Cartes!$A$2:$A$301,0))</f>
        <v>8</v>
      </c>
      <c r="H152" s="6" t="s">
        <v>13</v>
      </c>
    </row>
    <row r="153" customFormat="false" ht="15" hidden="false" customHeight="true" outlineLevel="0" collapsed="false">
      <c r="A153" s="3" t="n">
        <v>196</v>
      </c>
      <c r="B153" s="4" t="s">
        <v>169</v>
      </c>
      <c r="C153" s="4" t="s">
        <v>23</v>
      </c>
      <c r="D153" s="9" t="s">
        <v>108</v>
      </c>
      <c r="E153" s="4" t="n">
        <f aca="false">INDEX(Cartes!$F$2:$F$301,MATCH($A153,Cartes!$A$2:$A$301,0))</f>
        <v>94</v>
      </c>
      <c r="F153" s="4" t="n">
        <f aca="false">INDEX(Cartes!$G$2:$G$301,MATCH($A153,Cartes!$A$2:$A$301,0))</f>
        <v>9</v>
      </c>
      <c r="G153" s="4" t="n">
        <f aca="false">INDEX(Cartes!$H$2:$H$301,MATCH($A153,Cartes!$A$2:$A$301,0))</f>
        <v>8</v>
      </c>
      <c r="H153" s="6" t="s">
        <v>20</v>
      </c>
    </row>
    <row r="154" customFormat="false" ht="15" hidden="false" customHeight="true" outlineLevel="0" collapsed="false">
      <c r="A154" s="3" t="n">
        <v>121</v>
      </c>
      <c r="B154" s="4" t="s">
        <v>170</v>
      </c>
      <c r="C154" s="4" t="s">
        <v>23</v>
      </c>
      <c r="D154" s="9" t="s">
        <v>108</v>
      </c>
      <c r="E154" s="4" t="n">
        <f aca="false">INDEX(Cartes!$F$2:$F$301,MATCH($A154,Cartes!$A$2:$A$301,0))</f>
        <v>63</v>
      </c>
      <c r="F154" s="4" t="n">
        <f aca="false">INDEX(Cartes!$G$2:$G$301,MATCH($A154,Cartes!$A$2:$A$301,0))</f>
        <v>12</v>
      </c>
      <c r="G154" s="4" t="n">
        <f aca="false">INDEX(Cartes!$H$2:$H$301,MATCH($A154,Cartes!$A$2:$A$301,0))</f>
        <v>12</v>
      </c>
      <c r="H154" s="6" t="s">
        <v>20</v>
      </c>
    </row>
    <row r="155" customFormat="false" ht="15" hidden="false" customHeight="true" outlineLevel="0" collapsed="false">
      <c r="A155" s="3" t="n">
        <v>162</v>
      </c>
      <c r="B155" s="4" t="s">
        <v>171</v>
      </c>
      <c r="C155" s="4" t="s">
        <v>23</v>
      </c>
      <c r="D155" s="9" t="s">
        <v>108</v>
      </c>
      <c r="E155" s="4" t="n">
        <f aca="false">INDEX(Cartes!$F$2:$F$301,MATCH($A155,Cartes!$A$2:$A$301,0))</f>
        <v>48</v>
      </c>
      <c r="F155" s="4" t="n">
        <f aca="false">INDEX(Cartes!$G$2:$G$301,MATCH($A155,Cartes!$A$2:$A$301,0))</f>
        <v>17</v>
      </c>
      <c r="G155" s="4" t="n">
        <f aca="false">INDEX(Cartes!$H$2:$H$301,MATCH($A155,Cartes!$A$2:$A$301,0))</f>
        <v>9</v>
      </c>
      <c r="H155" s="6" t="s">
        <v>20</v>
      </c>
    </row>
    <row r="156" customFormat="false" ht="15" hidden="false" customHeight="true" outlineLevel="0" collapsed="false">
      <c r="A156" s="3" t="n">
        <v>183</v>
      </c>
      <c r="B156" s="4" t="s">
        <v>172</v>
      </c>
      <c r="C156" s="4" t="s">
        <v>23</v>
      </c>
      <c r="D156" s="9" t="s">
        <v>108</v>
      </c>
      <c r="E156" s="4" t="n">
        <f aca="false">INDEX(Cartes!$F$2:$F$301,MATCH($A156,Cartes!$A$2:$A$301,0))</f>
        <v>52</v>
      </c>
      <c r="F156" s="4" t="n">
        <f aca="false">INDEX(Cartes!$G$2:$G$301,MATCH($A156,Cartes!$A$2:$A$301,0))</f>
        <v>7</v>
      </c>
      <c r="G156" s="4" t="n">
        <f aca="false">INDEX(Cartes!$H$2:$H$301,MATCH($A156,Cartes!$A$2:$A$301,0))</f>
        <v>19</v>
      </c>
      <c r="H156" s="6" t="s">
        <v>20</v>
      </c>
    </row>
    <row r="157" customFormat="false" ht="15" hidden="false" customHeight="true" outlineLevel="0" collapsed="false">
      <c r="A157" s="3" t="n">
        <v>205</v>
      </c>
      <c r="B157" s="4" t="s">
        <v>173</v>
      </c>
      <c r="C157" s="4" t="s">
        <v>23</v>
      </c>
      <c r="D157" s="9" t="s">
        <v>108</v>
      </c>
      <c r="E157" s="4" t="n">
        <f aca="false">INDEX(Cartes!$F$2:$F$301,MATCH($A157,Cartes!$A$2:$A$301,0))</f>
        <v>61</v>
      </c>
      <c r="F157" s="4" t="n">
        <f aca="false">INDEX(Cartes!$G$2:$G$301,MATCH($A157,Cartes!$A$2:$A$301,0))</f>
        <v>12</v>
      </c>
      <c r="G157" s="4" t="n">
        <f aca="false">INDEX(Cartes!$H$2:$H$301,MATCH($A157,Cartes!$A$2:$A$301,0))</f>
        <v>13</v>
      </c>
      <c r="H157" s="6" t="s">
        <v>11</v>
      </c>
    </row>
    <row r="158" customFormat="false" ht="15" hidden="false" customHeight="true" outlineLevel="0" collapsed="false">
      <c r="A158" s="3" t="n">
        <v>201</v>
      </c>
      <c r="B158" s="4" t="s">
        <v>174</v>
      </c>
      <c r="C158" s="4" t="s">
        <v>23</v>
      </c>
      <c r="D158" s="9" t="s">
        <v>108</v>
      </c>
      <c r="E158" s="4" t="n">
        <f aca="false">INDEX(Cartes!$F$2:$F$301,MATCH($A158,Cartes!$A$2:$A$301,0))</f>
        <v>72</v>
      </c>
      <c r="F158" s="4" t="n">
        <f aca="false">INDEX(Cartes!$G$2:$G$301,MATCH($A158,Cartes!$A$2:$A$301,0))</f>
        <v>12</v>
      </c>
      <c r="G158" s="4" t="n">
        <f aca="false">INDEX(Cartes!$H$2:$H$301,MATCH($A158,Cartes!$A$2:$A$301,0))</f>
        <v>12</v>
      </c>
      <c r="H158" s="6" t="s">
        <v>13</v>
      </c>
    </row>
    <row r="159" customFormat="false" ht="15" hidden="false" customHeight="true" outlineLevel="0" collapsed="false">
      <c r="A159" s="3" t="n">
        <v>166</v>
      </c>
      <c r="B159" s="4" t="s">
        <v>175</v>
      </c>
      <c r="C159" s="4" t="s">
        <v>23</v>
      </c>
      <c r="D159" s="9" t="s">
        <v>108</v>
      </c>
      <c r="E159" s="4" t="n">
        <f aca="false">INDEX(Cartes!$F$2:$F$301,MATCH($A159,Cartes!$A$2:$A$301,0))</f>
        <v>43</v>
      </c>
      <c r="F159" s="4" t="n">
        <f aca="false">INDEX(Cartes!$G$2:$G$301,MATCH($A159,Cartes!$A$2:$A$301,0))</f>
        <v>18</v>
      </c>
      <c r="G159" s="4" t="n">
        <f aca="false">INDEX(Cartes!$H$2:$H$301,MATCH($A159,Cartes!$A$2:$A$301,0))</f>
        <v>10</v>
      </c>
      <c r="H159" s="6" t="s">
        <v>16</v>
      </c>
    </row>
    <row r="160" customFormat="false" ht="15" hidden="false" customHeight="true" outlineLevel="0" collapsed="false">
      <c r="A160" s="3" t="n">
        <v>144</v>
      </c>
      <c r="B160" s="4" t="s">
        <v>176</v>
      </c>
      <c r="C160" s="4" t="s">
        <v>23</v>
      </c>
      <c r="D160" s="9" t="s">
        <v>108</v>
      </c>
      <c r="E160" s="4" t="n">
        <f aca="false">INDEX(Cartes!$F$2:$F$301,MATCH($A160,Cartes!$A$2:$A$301,0))</f>
        <v>102</v>
      </c>
      <c r="F160" s="4" t="n">
        <f aca="false">INDEX(Cartes!$G$2:$G$301,MATCH($A160,Cartes!$A$2:$A$301,0))</f>
        <v>9</v>
      </c>
      <c r="G160" s="4" t="n">
        <f aca="false">INDEX(Cartes!$H$2:$H$301,MATCH($A160,Cartes!$A$2:$A$301,0))</f>
        <v>8</v>
      </c>
      <c r="H160" s="6" t="s">
        <v>13</v>
      </c>
    </row>
    <row r="161" customFormat="false" ht="15" hidden="false" customHeight="true" outlineLevel="0" collapsed="false">
      <c r="A161" s="3" t="n">
        <v>127</v>
      </c>
      <c r="B161" s="4" t="s">
        <v>177</v>
      </c>
      <c r="C161" s="4" t="s">
        <v>23</v>
      </c>
      <c r="D161" s="9" t="s">
        <v>108</v>
      </c>
      <c r="E161" s="4" t="n">
        <f aca="false">INDEX(Cartes!$F$2:$F$301,MATCH($A161,Cartes!$A$2:$A$301,0))</f>
        <v>57</v>
      </c>
      <c r="F161" s="4" t="n">
        <f aca="false">INDEX(Cartes!$G$2:$G$301,MATCH($A161,Cartes!$A$2:$A$301,0))</f>
        <v>7</v>
      </c>
      <c r="G161" s="4" t="n">
        <f aca="false">INDEX(Cartes!$H$2:$H$301,MATCH($A161,Cartes!$A$2:$A$301,0))</f>
        <v>19</v>
      </c>
      <c r="H161" s="6" t="s">
        <v>16</v>
      </c>
    </row>
    <row r="162" customFormat="false" ht="15" hidden="false" customHeight="true" outlineLevel="0" collapsed="false">
      <c r="A162" s="3" t="n">
        <v>204</v>
      </c>
      <c r="B162" s="4" t="s">
        <v>178</v>
      </c>
      <c r="C162" s="4" t="s">
        <v>23</v>
      </c>
      <c r="D162" s="9" t="s">
        <v>108</v>
      </c>
      <c r="E162" s="4" t="n">
        <f aca="false">INDEX(Cartes!$F$2:$F$301,MATCH($A162,Cartes!$A$2:$A$301,0))</f>
        <v>103</v>
      </c>
      <c r="F162" s="4" t="n">
        <f aca="false">INDEX(Cartes!$G$2:$G$301,MATCH($A162,Cartes!$A$2:$A$301,0))</f>
        <v>9</v>
      </c>
      <c r="G162" s="4" t="n">
        <f aca="false">INDEX(Cartes!$H$2:$H$301,MATCH($A162,Cartes!$A$2:$A$301,0))</f>
        <v>8</v>
      </c>
      <c r="H162" s="6" t="s">
        <v>20</v>
      </c>
    </row>
    <row r="163" customFormat="false" ht="15" hidden="false" customHeight="true" outlineLevel="0" collapsed="false">
      <c r="A163" s="3" t="n">
        <v>164</v>
      </c>
      <c r="B163" s="4" t="s">
        <v>179</v>
      </c>
      <c r="C163" s="4" t="s">
        <v>23</v>
      </c>
      <c r="D163" s="9" t="s">
        <v>108</v>
      </c>
      <c r="E163" s="4" t="n">
        <f aca="false">INDEX(Cartes!$F$2:$F$301,MATCH($A163,Cartes!$A$2:$A$301,0))</f>
        <v>108</v>
      </c>
      <c r="F163" s="4" t="n">
        <f aca="false">INDEX(Cartes!$G$2:$G$301,MATCH($A163,Cartes!$A$2:$A$301,0))</f>
        <v>9</v>
      </c>
      <c r="G163" s="4" t="n">
        <f aca="false">INDEX(Cartes!$H$2:$H$301,MATCH($A163,Cartes!$A$2:$A$301,0))</f>
        <v>8</v>
      </c>
      <c r="H163" s="6" t="s">
        <v>11</v>
      </c>
    </row>
    <row r="164" customFormat="false" ht="15" hidden="false" customHeight="true" outlineLevel="0" collapsed="false">
      <c r="A164" s="3" t="n">
        <v>150</v>
      </c>
      <c r="B164" s="4" t="s">
        <v>180</v>
      </c>
      <c r="C164" s="4" t="s">
        <v>23</v>
      </c>
      <c r="D164" s="9" t="s">
        <v>108</v>
      </c>
      <c r="E164" s="4" t="n">
        <f aca="false">INDEX(Cartes!$F$2:$F$301,MATCH($A164,Cartes!$A$2:$A$301,0))</f>
        <v>45</v>
      </c>
      <c r="F164" s="4" t="n">
        <f aca="false">INDEX(Cartes!$G$2:$G$301,MATCH($A164,Cartes!$A$2:$A$301,0))</f>
        <v>18</v>
      </c>
      <c r="G164" s="4" t="n">
        <f aca="false">INDEX(Cartes!$H$2:$H$301,MATCH($A164,Cartes!$A$2:$A$301,0))</f>
        <v>10</v>
      </c>
      <c r="H164" s="6" t="s">
        <v>20</v>
      </c>
    </row>
    <row r="165" customFormat="false" ht="15" hidden="false" customHeight="true" outlineLevel="0" collapsed="false">
      <c r="A165" s="3" t="n">
        <v>172</v>
      </c>
      <c r="B165" s="4" t="s">
        <v>181</v>
      </c>
      <c r="C165" s="4" t="s">
        <v>23</v>
      </c>
      <c r="D165" s="9" t="s">
        <v>108</v>
      </c>
      <c r="E165" s="4" t="n">
        <f aca="false">INDEX(Cartes!$F$2:$F$301,MATCH($A165,Cartes!$A$2:$A$301,0))</f>
        <v>108</v>
      </c>
      <c r="F165" s="4" t="n">
        <f aca="false">INDEX(Cartes!$G$2:$G$301,MATCH($A165,Cartes!$A$2:$A$301,0))</f>
        <v>9</v>
      </c>
      <c r="G165" s="4" t="n">
        <f aca="false">INDEX(Cartes!$H$2:$H$301,MATCH($A165,Cartes!$A$2:$A$301,0))</f>
        <v>7</v>
      </c>
      <c r="H165" s="6" t="s">
        <v>16</v>
      </c>
    </row>
    <row r="166" customFormat="false" ht="15" hidden="false" customHeight="true" outlineLevel="0" collapsed="false">
      <c r="A166" s="3" t="n">
        <v>186</v>
      </c>
      <c r="B166" s="4" t="s">
        <v>182</v>
      </c>
      <c r="C166" s="4" t="s">
        <v>23</v>
      </c>
      <c r="D166" s="9" t="s">
        <v>108</v>
      </c>
      <c r="E166" s="4" t="n">
        <f aca="false">INDEX(Cartes!$F$2:$F$301,MATCH($A166,Cartes!$A$2:$A$301,0))</f>
        <v>47</v>
      </c>
      <c r="F166" s="4" t="n">
        <f aca="false">INDEX(Cartes!$G$2:$G$301,MATCH($A166,Cartes!$A$2:$A$301,0))</f>
        <v>18</v>
      </c>
      <c r="G166" s="4" t="n">
        <f aca="false">INDEX(Cartes!$H$2:$H$301,MATCH($A166,Cartes!$A$2:$A$301,0))</f>
        <v>9</v>
      </c>
      <c r="H166" s="6" t="s">
        <v>20</v>
      </c>
    </row>
    <row r="167" customFormat="false" ht="15" hidden="false" customHeight="true" outlineLevel="0" collapsed="false">
      <c r="A167" s="3" t="n">
        <v>202</v>
      </c>
      <c r="B167" s="4" t="s">
        <v>183</v>
      </c>
      <c r="C167" s="4" t="s">
        <v>23</v>
      </c>
      <c r="D167" s="9" t="s">
        <v>108</v>
      </c>
      <c r="E167" s="4" t="n">
        <f aca="false">INDEX(Cartes!$F$2:$F$301,MATCH($A167,Cartes!$A$2:$A$301,0))</f>
        <v>47</v>
      </c>
      <c r="F167" s="4" t="n">
        <f aca="false">INDEX(Cartes!$G$2:$G$301,MATCH($A167,Cartes!$A$2:$A$301,0))</f>
        <v>18</v>
      </c>
      <c r="G167" s="4" t="n">
        <f aca="false">INDEX(Cartes!$H$2:$H$301,MATCH($A167,Cartes!$A$2:$A$301,0))</f>
        <v>10</v>
      </c>
      <c r="H167" s="6" t="s">
        <v>11</v>
      </c>
    </row>
    <row r="168" customFormat="false" ht="15" hidden="false" customHeight="true" outlineLevel="0" collapsed="false">
      <c r="A168" s="3" t="n">
        <v>143</v>
      </c>
      <c r="B168" s="4" t="s">
        <v>184</v>
      </c>
      <c r="C168" s="4" t="s">
        <v>23</v>
      </c>
      <c r="D168" s="9" t="s">
        <v>108</v>
      </c>
      <c r="E168" s="4" t="n">
        <f aca="false">INDEX(Cartes!$F$2:$F$301,MATCH($A168,Cartes!$A$2:$A$301,0))</f>
        <v>59</v>
      </c>
      <c r="F168" s="4" t="n">
        <f aca="false">INDEX(Cartes!$G$2:$G$301,MATCH($A168,Cartes!$A$2:$A$301,0))</f>
        <v>7</v>
      </c>
      <c r="G168" s="4" t="n">
        <f aca="false">INDEX(Cartes!$H$2:$H$301,MATCH($A168,Cartes!$A$2:$A$301,0))</f>
        <v>19</v>
      </c>
      <c r="H168" s="6" t="s">
        <v>16</v>
      </c>
    </row>
    <row r="169" customFormat="false" ht="15" hidden="false" customHeight="true" outlineLevel="0" collapsed="false">
      <c r="A169" s="3" t="n">
        <v>161</v>
      </c>
      <c r="B169" s="4" t="s">
        <v>185</v>
      </c>
      <c r="C169" s="4" t="s">
        <v>23</v>
      </c>
      <c r="D169" s="9" t="s">
        <v>108</v>
      </c>
      <c r="E169" s="4" t="n">
        <f aca="false">INDEX(Cartes!$F$2:$F$301,MATCH($A169,Cartes!$A$2:$A$301,0))</f>
        <v>63</v>
      </c>
      <c r="F169" s="4" t="n">
        <f aca="false">INDEX(Cartes!$G$2:$G$301,MATCH($A169,Cartes!$A$2:$A$301,0))</f>
        <v>12</v>
      </c>
      <c r="G169" s="4" t="n">
        <f aca="false">INDEX(Cartes!$H$2:$H$301,MATCH($A169,Cartes!$A$2:$A$301,0))</f>
        <v>11</v>
      </c>
      <c r="H169" s="6" t="s">
        <v>16</v>
      </c>
    </row>
    <row r="170" customFormat="false" ht="15" hidden="false" customHeight="true" outlineLevel="0" collapsed="false">
      <c r="A170" s="3" t="n">
        <v>209</v>
      </c>
      <c r="B170" s="4" t="s">
        <v>186</v>
      </c>
      <c r="C170" s="4" t="s">
        <v>23</v>
      </c>
      <c r="D170" s="9" t="s">
        <v>108</v>
      </c>
      <c r="E170" s="4" t="n">
        <f aca="false">INDEX(Cartes!$F$2:$F$301,MATCH($A170,Cartes!$A$2:$A$301,0))</f>
        <v>66</v>
      </c>
      <c r="F170" s="4" t="n">
        <f aca="false">INDEX(Cartes!$G$2:$G$301,MATCH($A170,Cartes!$A$2:$A$301,0))</f>
        <v>13</v>
      </c>
      <c r="G170" s="4" t="n">
        <f aca="false">INDEX(Cartes!$H$2:$H$301,MATCH($A170,Cartes!$A$2:$A$301,0))</f>
        <v>11</v>
      </c>
      <c r="H170" s="6" t="s">
        <v>16</v>
      </c>
    </row>
    <row r="171" customFormat="false" ht="15" hidden="false" customHeight="true" outlineLevel="0" collapsed="false">
      <c r="A171" s="3" t="n">
        <v>132</v>
      </c>
      <c r="B171" s="4" t="s">
        <v>187</v>
      </c>
      <c r="C171" s="4" t="s">
        <v>23</v>
      </c>
      <c r="D171" s="9" t="s">
        <v>108</v>
      </c>
      <c r="E171" s="4" t="n">
        <f aca="false">INDEX(Cartes!$F$2:$F$301,MATCH($A171,Cartes!$A$2:$A$301,0))</f>
        <v>106</v>
      </c>
      <c r="F171" s="4" t="n">
        <f aca="false">INDEX(Cartes!$G$2:$G$301,MATCH($A171,Cartes!$A$2:$A$301,0))</f>
        <v>9</v>
      </c>
      <c r="G171" s="4" t="n">
        <f aca="false">INDEX(Cartes!$H$2:$H$301,MATCH($A171,Cartes!$A$2:$A$301,0))</f>
        <v>8</v>
      </c>
      <c r="H171" s="6" t="s">
        <v>20</v>
      </c>
    </row>
    <row r="172" customFormat="false" ht="15" hidden="false" customHeight="true" outlineLevel="0" collapsed="false">
      <c r="A172" s="3" t="n">
        <v>192</v>
      </c>
      <c r="B172" s="4" t="s">
        <v>188</v>
      </c>
      <c r="C172" s="4" t="s">
        <v>23</v>
      </c>
      <c r="D172" s="9" t="s">
        <v>108</v>
      </c>
      <c r="E172" s="4" t="n">
        <f aca="false">INDEX(Cartes!$F$2:$F$301,MATCH($A172,Cartes!$A$2:$A$301,0))</f>
        <v>101</v>
      </c>
      <c r="F172" s="4" t="n">
        <f aca="false">INDEX(Cartes!$G$2:$G$301,MATCH($A172,Cartes!$A$2:$A$301,0))</f>
        <v>9</v>
      </c>
      <c r="G172" s="4" t="n">
        <f aca="false">INDEX(Cartes!$H$2:$H$301,MATCH($A172,Cartes!$A$2:$A$301,0))</f>
        <v>8</v>
      </c>
      <c r="H172" s="6" t="s">
        <v>13</v>
      </c>
    </row>
    <row r="173" customFormat="false" ht="15" hidden="false" customHeight="true" outlineLevel="0" collapsed="false">
      <c r="A173" s="3" t="n">
        <v>176</v>
      </c>
      <c r="B173" s="4" t="s">
        <v>189</v>
      </c>
      <c r="C173" s="4" t="s">
        <v>23</v>
      </c>
      <c r="D173" s="9" t="s">
        <v>108</v>
      </c>
      <c r="E173" s="4" t="n">
        <f aca="false">INDEX(Cartes!$F$2:$F$301,MATCH($A173,Cartes!$A$2:$A$301,0))</f>
        <v>103</v>
      </c>
      <c r="F173" s="4" t="n">
        <f aca="false">INDEX(Cartes!$G$2:$G$301,MATCH($A173,Cartes!$A$2:$A$301,0))</f>
        <v>9</v>
      </c>
      <c r="G173" s="4" t="n">
        <f aca="false">INDEX(Cartes!$H$2:$H$301,MATCH($A173,Cartes!$A$2:$A$301,0))</f>
        <v>8</v>
      </c>
      <c r="H173" s="6" t="s">
        <v>13</v>
      </c>
    </row>
    <row r="174" customFormat="false" ht="15" hidden="false" customHeight="true" outlineLevel="0" collapsed="false">
      <c r="A174" s="3" t="n">
        <v>155</v>
      </c>
      <c r="B174" s="4" t="s">
        <v>190</v>
      </c>
      <c r="C174" s="4" t="s">
        <v>23</v>
      </c>
      <c r="D174" s="9" t="s">
        <v>108</v>
      </c>
      <c r="E174" s="4" t="n">
        <f aca="false">INDEX(Cartes!$F$2:$F$301,MATCH($A174,Cartes!$A$2:$A$301,0))</f>
        <v>58</v>
      </c>
      <c r="F174" s="4" t="n">
        <f aca="false">INDEX(Cartes!$G$2:$G$301,MATCH($A174,Cartes!$A$2:$A$301,0))</f>
        <v>6</v>
      </c>
      <c r="G174" s="4" t="n">
        <f aca="false">INDEX(Cartes!$H$2:$H$301,MATCH($A174,Cartes!$A$2:$A$301,0))</f>
        <v>18</v>
      </c>
      <c r="H174" s="6" t="s">
        <v>13</v>
      </c>
    </row>
    <row r="175" customFormat="false" ht="15" hidden="false" customHeight="true" outlineLevel="0" collapsed="false">
      <c r="A175" s="3" t="n">
        <v>135</v>
      </c>
      <c r="B175" s="4" t="s">
        <v>191</v>
      </c>
      <c r="C175" s="4" t="s">
        <v>23</v>
      </c>
      <c r="D175" s="9" t="s">
        <v>108</v>
      </c>
      <c r="E175" s="4" t="n">
        <f aca="false">INDEX(Cartes!$F$2:$F$301,MATCH($A175,Cartes!$A$2:$A$301,0))</f>
        <v>52</v>
      </c>
      <c r="F175" s="4" t="n">
        <f aca="false">INDEX(Cartes!$G$2:$G$301,MATCH($A175,Cartes!$A$2:$A$301,0))</f>
        <v>8</v>
      </c>
      <c r="G175" s="4" t="n">
        <f aca="false">INDEX(Cartes!$H$2:$H$301,MATCH($A175,Cartes!$A$2:$A$301,0))</f>
        <v>18</v>
      </c>
      <c r="H175" s="6" t="s">
        <v>13</v>
      </c>
    </row>
    <row r="176" customFormat="false" ht="15" hidden="false" customHeight="true" outlineLevel="0" collapsed="false">
      <c r="A176" s="3" t="n">
        <v>179</v>
      </c>
      <c r="B176" s="4" t="s">
        <v>192</v>
      </c>
      <c r="C176" s="4" t="s">
        <v>23</v>
      </c>
      <c r="D176" s="9" t="s">
        <v>108</v>
      </c>
      <c r="E176" s="4" t="n">
        <f aca="false">INDEX(Cartes!$F$2:$F$301,MATCH($A176,Cartes!$A$2:$A$301,0))</f>
        <v>52</v>
      </c>
      <c r="F176" s="4" t="n">
        <f aca="false">INDEX(Cartes!$G$2:$G$301,MATCH($A176,Cartes!$A$2:$A$301,0))</f>
        <v>7</v>
      </c>
      <c r="G176" s="4" t="n">
        <f aca="false">INDEX(Cartes!$H$2:$H$301,MATCH($A176,Cartes!$A$2:$A$301,0))</f>
        <v>19</v>
      </c>
      <c r="H176" s="6" t="s">
        <v>20</v>
      </c>
    </row>
    <row r="177" customFormat="false" ht="15" hidden="false" customHeight="true" outlineLevel="0" collapsed="false">
      <c r="A177" s="3" t="n">
        <v>133</v>
      </c>
      <c r="B177" s="4" t="s">
        <v>193</v>
      </c>
      <c r="C177" s="4" t="s">
        <v>23</v>
      </c>
      <c r="D177" s="9" t="s">
        <v>108</v>
      </c>
      <c r="E177" s="4" t="n">
        <f aca="false">INDEX(Cartes!$F$2:$F$301,MATCH($A177,Cartes!$A$2:$A$301,0))</f>
        <v>64</v>
      </c>
      <c r="F177" s="4" t="n">
        <f aca="false">INDEX(Cartes!$G$2:$G$301,MATCH($A177,Cartes!$A$2:$A$301,0))</f>
        <v>12</v>
      </c>
      <c r="G177" s="4" t="n">
        <f aca="false">INDEX(Cartes!$H$2:$H$301,MATCH($A177,Cartes!$A$2:$A$301,0))</f>
        <v>12</v>
      </c>
      <c r="H177" s="6" t="s">
        <v>20</v>
      </c>
    </row>
    <row r="178" customFormat="false" ht="15" hidden="false" customHeight="true" outlineLevel="0" collapsed="false">
      <c r="A178" s="3" t="n">
        <v>165</v>
      </c>
      <c r="B178" s="4" t="s">
        <v>194</v>
      </c>
      <c r="C178" s="4" t="s">
        <v>23</v>
      </c>
      <c r="D178" s="9" t="s">
        <v>108</v>
      </c>
      <c r="E178" s="4" t="n">
        <f aca="false">INDEX(Cartes!$F$2:$F$301,MATCH($A178,Cartes!$A$2:$A$301,0))</f>
        <v>62</v>
      </c>
      <c r="F178" s="4" t="n">
        <f aca="false">INDEX(Cartes!$G$2:$G$301,MATCH($A178,Cartes!$A$2:$A$301,0))</f>
        <v>12</v>
      </c>
      <c r="G178" s="4" t="n">
        <f aca="false">INDEX(Cartes!$H$2:$H$301,MATCH($A178,Cartes!$A$2:$A$301,0))</f>
        <v>12</v>
      </c>
      <c r="H178" s="6" t="s">
        <v>11</v>
      </c>
    </row>
    <row r="179" customFormat="false" ht="15" hidden="false" customHeight="true" outlineLevel="0" collapsed="false">
      <c r="A179" s="3" t="n">
        <v>146</v>
      </c>
      <c r="B179" s="4" t="s">
        <v>195</v>
      </c>
      <c r="C179" s="4" t="s">
        <v>23</v>
      </c>
      <c r="D179" s="9" t="s">
        <v>108</v>
      </c>
      <c r="E179" s="4" t="n">
        <f aca="false">INDEX(Cartes!$F$2:$F$301,MATCH($A179,Cartes!$A$2:$A$301,0))</f>
        <v>45</v>
      </c>
      <c r="F179" s="4" t="n">
        <f aca="false">INDEX(Cartes!$G$2:$G$301,MATCH($A179,Cartes!$A$2:$A$301,0))</f>
        <v>18</v>
      </c>
      <c r="G179" s="4" t="n">
        <f aca="false">INDEX(Cartes!$H$2:$H$301,MATCH($A179,Cartes!$A$2:$A$301,0))</f>
        <v>10</v>
      </c>
      <c r="H179" s="6" t="s">
        <v>20</v>
      </c>
    </row>
    <row r="180" customFormat="false" ht="15" hidden="false" customHeight="true" outlineLevel="0" collapsed="false">
      <c r="A180" s="3" t="n">
        <v>185</v>
      </c>
      <c r="B180" s="4" t="s">
        <v>196</v>
      </c>
      <c r="C180" s="4" t="s">
        <v>23</v>
      </c>
      <c r="D180" s="9" t="s">
        <v>108</v>
      </c>
      <c r="E180" s="4" t="n">
        <f aca="false">INDEX(Cartes!$F$2:$F$301,MATCH($A180,Cartes!$A$2:$A$301,0))</f>
        <v>68</v>
      </c>
      <c r="F180" s="4" t="n">
        <f aca="false">INDEX(Cartes!$G$2:$G$301,MATCH($A180,Cartes!$A$2:$A$301,0))</f>
        <v>11</v>
      </c>
      <c r="G180" s="4" t="n">
        <f aca="false">INDEX(Cartes!$H$2:$H$301,MATCH($A180,Cartes!$A$2:$A$301,0))</f>
        <v>12</v>
      </c>
      <c r="H180" s="6" t="s">
        <v>16</v>
      </c>
    </row>
    <row r="181" customFormat="false" ht="15" hidden="false" customHeight="true" outlineLevel="0" collapsed="false">
      <c r="A181" s="3" t="n">
        <v>191</v>
      </c>
      <c r="B181" s="4" t="s">
        <v>197</v>
      </c>
      <c r="C181" s="4" t="s">
        <v>23</v>
      </c>
      <c r="D181" s="9" t="s">
        <v>108</v>
      </c>
      <c r="E181" s="4" t="n">
        <f aca="false">INDEX(Cartes!$F$2:$F$301,MATCH($A181,Cartes!$A$2:$A$301,0))</f>
        <v>57</v>
      </c>
      <c r="F181" s="4" t="n">
        <f aca="false">INDEX(Cartes!$G$2:$G$301,MATCH($A181,Cartes!$A$2:$A$301,0))</f>
        <v>7</v>
      </c>
      <c r="G181" s="4" t="n">
        <f aca="false">INDEX(Cartes!$H$2:$H$301,MATCH($A181,Cartes!$A$2:$A$301,0))</f>
        <v>19</v>
      </c>
      <c r="H181" s="6" t="s">
        <v>16</v>
      </c>
    </row>
    <row r="182" customFormat="false" ht="15" hidden="false" customHeight="true" outlineLevel="0" collapsed="false">
      <c r="A182" s="3" t="n">
        <v>56</v>
      </c>
      <c r="B182" s="4" t="s">
        <v>198</v>
      </c>
      <c r="C182" s="4" t="s">
        <v>9</v>
      </c>
      <c r="D182" s="10" t="s">
        <v>199</v>
      </c>
      <c r="E182" s="4" t="n">
        <f aca="false">INDEX(Cartes!$F$2:$F$301,MATCH($A182,Cartes!$A$2:$A$301,0))</f>
        <v>83</v>
      </c>
      <c r="F182" s="4" t="n">
        <f aca="false">INDEX(Cartes!$G$2:$G$301,MATCH($A182,Cartes!$A$2:$A$301,0))</f>
        <v>8</v>
      </c>
      <c r="G182" s="4" t="n">
        <f aca="false">INDEX(Cartes!$H$2:$H$301,MATCH($A182,Cartes!$A$2:$A$301,0))</f>
        <v>6</v>
      </c>
      <c r="H182" s="6" t="s">
        <v>20</v>
      </c>
    </row>
    <row r="183" customFormat="false" ht="15" hidden="false" customHeight="true" outlineLevel="0" collapsed="false">
      <c r="A183" s="3" t="n">
        <v>16</v>
      </c>
      <c r="B183" s="4" t="s">
        <v>200</v>
      </c>
      <c r="C183" s="4" t="s">
        <v>9</v>
      </c>
      <c r="D183" s="10" t="s">
        <v>199</v>
      </c>
      <c r="E183" s="4" t="n">
        <f aca="false">INDEX(Cartes!$F$2:$F$301,MATCH($A183,Cartes!$A$2:$A$301,0))</f>
        <v>79</v>
      </c>
      <c r="F183" s="4" t="n">
        <f aca="false">INDEX(Cartes!$G$2:$G$301,MATCH($A183,Cartes!$A$2:$A$301,0))</f>
        <v>8</v>
      </c>
      <c r="G183" s="4" t="n">
        <f aca="false">INDEX(Cartes!$H$2:$H$301,MATCH($A183,Cartes!$A$2:$A$301,0))</f>
        <v>7</v>
      </c>
      <c r="H183" s="6" t="s">
        <v>16</v>
      </c>
    </row>
    <row r="184" customFormat="false" ht="15" hidden="false" customHeight="true" outlineLevel="0" collapsed="false">
      <c r="A184" s="3" t="n">
        <v>31</v>
      </c>
      <c r="B184" s="4" t="s">
        <v>201</v>
      </c>
      <c r="C184" s="4" t="s">
        <v>9</v>
      </c>
      <c r="D184" s="10" t="s">
        <v>199</v>
      </c>
      <c r="E184" s="4" t="n">
        <f aca="false">INDEX(Cartes!$F$2:$F$301,MATCH($A184,Cartes!$A$2:$A$301,0))</f>
        <v>43</v>
      </c>
      <c r="F184" s="4" t="n">
        <f aca="false">INDEX(Cartes!$G$2:$G$301,MATCH($A184,Cartes!$A$2:$A$301,0))</f>
        <v>5</v>
      </c>
      <c r="G184" s="4" t="n">
        <f aca="false">INDEX(Cartes!$H$2:$H$301,MATCH($A184,Cartes!$A$2:$A$301,0))</f>
        <v>15</v>
      </c>
      <c r="H184" s="6" t="s">
        <v>20</v>
      </c>
    </row>
    <row r="185" customFormat="false" ht="15" hidden="false" customHeight="true" outlineLevel="0" collapsed="false">
      <c r="A185" s="3" t="n">
        <v>25</v>
      </c>
      <c r="B185" s="4" t="s">
        <v>202</v>
      </c>
      <c r="C185" s="4" t="s">
        <v>9</v>
      </c>
      <c r="D185" s="10" t="s">
        <v>199</v>
      </c>
      <c r="E185" s="4" t="n">
        <f aca="false">INDEX(Cartes!$F$2:$F$301,MATCH($A185,Cartes!$A$2:$A$301,0))</f>
        <v>50</v>
      </c>
      <c r="F185" s="4" t="n">
        <f aca="false">INDEX(Cartes!$G$2:$G$301,MATCH($A185,Cartes!$A$2:$A$301,0))</f>
        <v>11</v>
      </c>
      <c r="G185" s="4" t="n">
        <f aca="false">INDEX(Cartes!$H$2:$H$301,MATCH($A185,Cartes!$A$2:$A$301,0))</f>
        <v>9</v>
      </c>
      <c r="H185" s="6" t="s">
        <v>11</v>
      </c>
    </row>
    <row r="186" customFormat="false" ht="15" hidden="false" customHeight="true" outlineLevel="0" collapsed="false">
      <c r="A186" s="3" t="n">
        <v>84</v>
      </c>
      <c r="B186" s="4" t="s">
        <v>203</v>
      </c>
      <c r="C186" s="4" t="s">
        <v>9</v>
      </c>
      <c r="D186" s="10" t="s">
        <v>199</v>
      </c>
      <c r="E186" s="4" t="n">
        <f aca="false">INDEX(Cartes!$F$2:$F$301,MATCH($A186,Cartes!$A$2:$A$301,0))</f>
        <v>86</v>
      </c>
      <c r="F186" s="4" t="n">
        <f aca="false">INDEX(Cartes!$G$2:$G$301,MATCH($A186,Cartes!$A$2:$A$301,0))</f>
        <v>7</v>
      </c>
      <c r="G186" s="4" t="n">
        <f aca="false">INDEX(Cartes!$H$2:$H$301,MATCH($A186,Cartes!$A$2:$A$301,0))</f>
        <v>5</v>
      </c>
      <c r="H186" s="6" t="s">
        <v>16</v>
      </c>
    </row>
    <row r="187" customFormat="false" ht="15" hidden="false" customHeight="true" outlineLevel="0" collapsed="false">
      <c r="A187" s="3" t="n">
        <v>27</v>
      </c>
      <c r="B187" s="4" t="s">
        <v>204</v>
      </c>
      <c r="C187" s="4" t="s">
        <v>9</v>
      </c>
      <c r="D187" s="10" t="s">
        <v>199</v>
      </c>
      <c r="E187" s="4" t="n">
        <f aca="false">INDEX(Cartes!$F$2:$F$301,MATCH($A187,Cartes!$A$2:$A$301,0))</f>
        <v>46</v>
      </c>
      <c r="F187" s="4" t="n">
        <f aca="false">INDEX(Cartes!$G$2:$G$301,MATCH($A187,Cartes!$A$2:$A$301,0))</f>
        <v>6</v>
      </c>
      <c r="G187" s="4" t="n">
        <f aca="false">INDEX(Cartes!$H$2:$H$301,MATCH($A187,Cartes!$A$2:$A$301,0))</f>
        <v>15</v>
      </c>
      <c r="H187" s="6" t="s">
        <v>13</v>
      </c>
    </row>
    <row r="188" customFormat="false" ht="15" hidden="false" customHeight="true" outlineLevel="0" collapsed="false">
      <c r="A188" s="3" t="n">
        <v>22</v>
      </c>
      <c r="B188" s="4" t="s">
        <v>205</v>
      </c>
      <c r="C188" s="4" t="s">
        <v>9</v>
      </c>
      <c r="D188" s="10" t="s">
        <v>199</v>
      </c>
      <c r="E188" s="4" t="n">
        <f aca="false">INDEX(Cartes!$F$2:$F$301,MATCH($A188,Cartes!$A$2:$A$301,0))</f>
        <v>37</v>
      </c>
      <c r="F188" s="4" t="n">
        <f aca="false">INDEX(Cartes!$G$2:$G$301,MATCH($A188,Cartes!$A$2:$A$301,0))</f>
        <v>16</v>
      </c>
      <c r="G188" s="4" t="n">
        <f aca="false">INDEX(Cartes!$H$2:$H$301,MATCH($A188,Cartes!$A$2:$A$301,0))</f>
        <v>7</v>
      </c>
      <c r="H188" s="6" t="s">
        <v>13</v>
      </c>
    </row>
    <row r="189" customFormat="false" ht="15" hidden="false" customHeight="true" outlineLevel="0" collapsed="false">
      <c r="A189" s="3" t="n">
        <v>15</v>
      </c>
      <c r="B189" s="4" t="s">
        <v>206</v>
      </c>
      <c r="C189" s="4" t="s">
        <v>9</v>
      </c>
      <c r="D189" s="10" t="s">
        <v>199</v>
      </c>
      <c r="E189" s="4" t="n">
        <f aca="false">INDEX(Cartes!$F$2:$F$301,MATCH($A189,Cartes!$A$2:$A$301,0))</f>
        <v>48</v>
      </c>
      <c r="F189" s="4" t="n">
        <f aca="false">INDEX(Cartes!$G$2:$G$301,MATCH($A189,Cartes!$A$2:$A$301,0))</f>
        <v>6</v>
      </c>
      <c r="G189" s="4" t="n">
        <f aca="false">INDEX(Cartes!$H$2:$H$301,MATCH($A189,Cartes!$A$2:$A$301,0))</f>
        <v>15</v>
      </c>
      <c r="H189" s="6" t="s">
        <v>16</v>
      </c>
    </row>
    <row r="190" customFormat="false" ht="15" hidden="false" customHeight="true" outlineLevel="0" collapsed="false">
      <c r="A190" s="3" t="n">
        <v>120</v>
      </c>
      <c r="B190" s="4" t="s">
        <v>207</v>
      </c>
      <c r="C190" s="4" t="s">
        <v>9</v>
      </c>
      <c r="D190" s="10" t="s">
        <v>199</v>
      </c>
      <c r="E190" s="4" t="n">
        <f aca="false">INDEX(Cartes!$F$2:$F$301,MATCH($A190,Cartes!$A$2:$A$301,0))</f>
        <v>81</v>
      </c>
      <c r="F190" s="4" t="n">
        <f aca="false">INDEX(Cartes!$G$2:$G$301,MATCH($A190,Cartes!$A$2:$A$301,0))</f>
        <v>8</v>
      </c>
      <c r="G190" s="4" t="n">
        <f aca="false">INDEX(Cartes!$H$2:$H$301,MATCH($A190,Cartes!$A$2:$A$301,0))</f>
        <v>5</v>
      </c>
      <c r="H190" s="6" t="s">
        <v>20</v>
      </c>
    </row>
    <row r="191" customFormat="false" ht="15" hidden="false" customHeight="true" outlineLevel="0" collapsed="false">
      <c r="A191" s="3" t="n">
        <v>74</v>
      </c>
      <c r="B191" s="4" t="s">
        <v>208</v>
      </c>
      <c r="C191" s="4" t="s">
        <v>9</v>
      </c>
      <c r="D191" s="10" t="s">
        <v>199</v>
      </c>
      <c r="E191" s="4" t="n">
        <f aca="false">INDEX(Cartes!$F$2:$F$301,MATCH($A191,Cartes!$A$2:$A$301,0))</f>
        <v>36</v>
      </c>
      <c r="F191" s="4" t="n">
        <f aca="false">INDEX(Cartes!$G$2:$G$301,MATCH($A191,Cartes!$A$2:$A$301,0))</f>
        <v>15</v>
      </c>
      <c r="G191" s="4" t="n">
        <f aca="false">INDEX(Cartes!$H$2:$H$301,MATCH($A191,Cartes!$A$2:$A$301,0))</f>
        <v>8</v>
      </c>
      <c r="H191" s="6" t="s">
        <v>16</v>
      </c>
    </row>
    <row r="192" customFormat="false" ht="15" hidden="false" customHeight="true" outlineLevel="0" collapsed="false">
      <c r="A192" s="3" t="n">
        <v>23</v>
      </c>
      <c r="B192" s="4" t="s">
        <v>209</v>
      </c>
      <c r="C192" s="4" t="s">
        <v>9</v>
      </c>
      <c r="D192" s="10" t="s">
        <v>199</v>
      </c>
      <c r="E192" s="4" t="n">
        <f aca="false">INDEX(Cartes!$F$2:$F$301,MATCH($A192,Cartes!$A$2:$A$301,0))</f>
        <v>46</v>
      </c>
      <c r="F192" s="4" t="n">
        <f aca="false">INDEX(Cartes!$G$2:$G$301,MATCH($A192,Cartes!$A$2:$A$301,0))</f>
        <v>6</v>
      </c>
      <c r="G192" s="4" t="n">
        <f aca="false">INDEX(Cartes!$H$2:$H$301,MATCH($A192,Cartes!$A$2:$A$301,0))</f>
        <v>15</v>
      </c>
      <c r="H192" s="6" t="s">
        <v>13</v>
      </c>
    </row>
    <row r="193" customFormat="false" ht="15" hidden="false" customHeight="true" outlineLevel="0" collapsed="false">
      <c r="A193" s="3" t="n">
        <v>112</v>
      </c>
      <c r="B193" s="4" t="s">
        <v>210</v>
      </c>
      <c r="C193" s="4" t="s">
        <v>9</v>
      </c>
      <c r="D193" s="10" t="s">
        <v>199</v>
      </c>
      <c r="E193" s="4" t="n">
        <f aca="false">INDEX(Cartes!$F$2:$F$301,MATCH($A193,Cartes!$A$2:$A$301,0))</f>
        <v>80</v>
      </c>
      <c r="F193" s="4" t="n">
        <f aca="false">INDEX(Cartes!$G$2:$G$301,MATCH($A193,Cartes!$A$2:$A$301,0))</f>
        <v>7</v>
      </c>
      <c r="G193" s="4" t="n">
        <f aca="false">INDEX(Cartes!$H$2:$H$301,MATCH($A193,Cartes!$A$2:$A$301,0))</f>
        <v>6</v>
      </c>
      <c r="H193" s="6" t="s">
        <v>11</v>
      </c>
    </row>
    <row r="194" customFormat="false" ht="15" hidden="false" customHeight="true" outlineLevel="0" collapsed="false">
      <c r="A194" s="3" t="n">
        <v>58</v>
      </c>
      <c r="B194" s="4" t="s">
        <v>211</v>
      </c>
      <c r="C194" s="4" t="s">
        <v>9</v>
      </c>
      <c r="D194" s="10" t="s">
        <v>199</v>
      </c>
      <c r="E194" s="4" t="n">
        <f aca="false">INDEX(Cartes!$F$2:$F$301,MATCH($A194,Cartes!$A$2:$A$301,0))</f>
        <v>37</v>
      </c>
      <c r="F194" s="4" t="n">
        <f aca="false">INDEX(Cartes!$G$2:$G$301,MATCH($A194,Cartes!$A$2:$A$301,0))</f>
        <v>15</v>
      </c>
      <c r="G194" s="4" t="n">
        <f aca="false">INDEX(Cartes!$H$2:$H$301,MATCH($A194,Cartes!$A$2:$A$301,0))</f>
        <v>7</v>
      </c>
      <c r="H194" s="6" t="s">
        <v>20</v>
      </c>
    </row>
    <row r="195" customFormat="false" ht="15" hidden="false" customHeight="true" outlineLevel="0" collapsed="false">
      <c r="A195" s="3" t="n">
        <v>26</v>
      </c>
      <c r="B195" s="4" t="s">
        <v>212</v>
      </c>
      <c r="C195" s="4" t="s">
        <v>9</v>
      </c>
      <c r="D195" s="10" t="s">
        <v>199</v>
      </c>
      <c r="E195" s="4" t="n">
        <f aca="false">INDEX(Cartes!$F$2:$F$301,MATCH($A195,Cartes!$A$2:$A$301,0))</f>
        <v>34</v>
      </c>
      <c r="F195" s="4" t="n">
        <f aca="false">INDEX(Cartes!$G$2:$G$301,MATCH($A195,Cartes!$A$2:$A$301,0))</f>
        <v>15</v>
      </c>
      <c r="G195" s="4" t="n">
        <f aca="false">INDEX(Cartes!$H$2:$H$301,MATCH($A195,Cartes!$A$2:$A$301,0))</f>
        <v>8</v>
      </c>
      <c r="H195" s="6" t="s">
        <v>11</v>
      </c>
    </row>
    <row r="196" customFormat="false" ht="15" hidden="false" customHeight="true" outlineLevel="0" collapsed="false">
      <c r="A196" s="3" t="n">
        <v>106</v>
      </c>
      <c r="B196" s="4" t="s">
        <v>213</v>
      </c>
      <c r="C196" s="4" t="s">
        <v>9</v>
      </c>
      <c r="D196" s="10" t="s">
        <v>199</v>
      </c>
      <c r="E196" s="4" t="n">
        <f aca="false">INDEX(Cartes!$F$2:$F$301,MATCH($A196,Cartes!$A$2:$A$301,0))</f>
        <v>36</v>
      </c>
      <c r="F196" s="4" t="n">
        <f aca="false">INDEX(Cartes!$G$2:$G$301,MATCH($A196,Cartes!$A$2:$A$301,0))</f>
        <v>16</v>
      </c>
      <c r="G196" s="4" t="n">
        <f aca="false">INDEX(Cartes!$H$2:$H$301,MATCH($A196,Cartes!$A$2:$A$301,0))</f>
        <v>8</v>
      </c>
      <c r="H196" s="6" t="s">
        <v>16</v>
      </c>
    </row>
    <row r="197" customFormat="false" ht="15" hidden="false" customHeight="true" outlineLevel="0" collapsed="false">
      <c r="A197" s="3" t="n">
        <v>1</v>
      </c>
      <c r="B197" s="4" t="s">
        <v>214</v>
      </c>
      <c r="C197" s="4" t="s">
        <v>9</v>
      </c>
      <c r="D197" s="10" t="s">
        <v>199</v>
      </c>
      <c r="E197" s="4" t="n">
        <f aca="false">INDEX(Cartes!$F$2:$F$301,MATCH($A197,Cartes!$A$2:$A$301,0))</f>
        <v>51</v>
      </c>
      <c r="F197" s="4" t="n">
        <f aca="false">INDEX(Cartes!$G$2:$G$301,MATCH($A197,Cartes!$A$2:$A$301,0))</f>
        <v>10</v>
      </c>
      <c r="G197" s="4" t="n">
        <f aca="false">INDEX(Cartes!$H$2:$H$301,MATCH($A197,Cartes!$A$2:$A$301,0))</f>
        <v>10</v>
      </c>
      <c r="H197" s="6" t="s">
        <v>11</v>
      </c>
    </row>
    <row r="198" customFormat="false" ht="15" hidden="false" customHeight="true" outlineLevel="0" collapsed="false">
      <c r="A198" s="3" t="n">
        <v>77</v>
      </c>
      <c r="B198" s="4" t="s">
        <v>215</v>
      </c>
      <c r="C198" s="4" t="s">
        <v>9</v>
      </c>
      <c r="D198" s="10" t="s">
        <v>199</v>
      </c>
      <c r="E198" s="4" t="n">
        <f aca="false">INDEX(Cartes!$F$2:$F$301,MATCH($A198,Cartes!$A$2:$A$301,0))</f>
        <v>46</v>
      </c>
      <c r="F198" s="4" t="n">
        <f aca="false">INDEX(Cartes!$G$2:$G$301,MATCH($A198,Cartes!$A$2:$A$301,0))</f>
        <v>10</v>
      </c>
      <c r="G198" s="4" t="n">
        <f aca="false">INDEX(Cartes!$H$2:$H$301,MATCH($A198,Cartes!$A$2:$A$301,0))</f>
        <v>10</v>
      </c>
      <c r="H198" s="6" t="s">
        <v>16</v>
      </c>
    </row>
    <row r="199" customFormat="false" ht="15" hidden="false" customHeight="true" outlineLevel="0" collapsed="false">
      <c r="A199" s="3" t="n">
        <v>94</v>
      </c>
      <c r="B199" s="4" t="s">
        <v>216</v>
      </c>
      <c r="C199" s="4" t="s">
        <v>9</v>
      </c>
      <c r="D199" s="10" t="s">
        <v>199</v>
      </c>
      <c r="E199" s="4" t="n">
        <f aca="false">INDEX(Cartes!$F$2:$F$301,MATCH($A199,Cartes!$A$2:$A$301,0))</f>
        <v>33</v>
      </c>
      <c r="F199" s="4" t="n">
        <f aca="false">INDEX(Cartes!$G$2:$G$301,MATCH($A199,Cartes!$A$2:$A$301,0))</f>
        <v>15</v>
      </c>
      <c r="G199" s="4" t="n">
        <f aca="false">INDEX(Cartes!$H$2:$H$301,MATCH($A199,Cartes!$A$2:$A$301,0))</f>
        <v>8</v>
      </c>
      <c r="H199" s="6" t="s">
        <v>20</v>
      </c>
    </row>
    <row r="200" customFormat="false" ht="15" hidden="false" customHeight="true" outlineLevel="0" collapsed="false">
      <c r="A200" s="3" t="n">
        <v>12</v>
      </c>
      <c r="B200" s="4" t="s">
        <v>217</v>
      </c>
      <c r="C200" s="4" t="s">
        <v>9</v>
      </c>
      <c r="D200" s="10" t="s">
        <v>199</v>
      </c>
      <c r="E200" s="4" t="n">
        <f aca="false">INDEX(Cartes!$F$2:$F$301,MATCH($A200,Cartes!$A$2:$A$301,0))</f>
        <v>85</v>
      </c>
      <c r="F200" s="4" t="n">
        <f aca="false">INDEX(Cartes!$G$2:$G$301,MATCH($A200,Cartes!$A$2:$A$301,0))</f>
        <v>7</v>
      </c>
      <c r="G200" s="4" t="n">
        <f aca="false">INDEX(Cartes!$H$2:$H$301,MATCH($A200,Cartes!$A$2:$A$301,0))</f>
        <v>7</v>
      </c>
      <c r="H200" s="6" t="s">
        <v>11</v>
      </c>
    </row>
    <row r="201" customFormat="false" ht="15" hidden="false" customHeight="true" outlineLevel="0" collapsed="false">
      <c r="A201" s="3" t="n">
        <v>18</v>
      </c>
      <c r="B201" s="4" t="s">
        <v>218</v>
      </c>
      <c r="C201" s="4" t="s">
        <v>9</v>
      </c>
      <c r="D201" s="10" t="s">
        <v>199</v>
      </c>
      <c r="E201" s="4" t="n">
        <f aca="false">INDEX(Cartes!$F$2:$F$301,MATCH($A201,Cartes!$A$2:$A$301,0))</f>
        <v>34</v>
      </c>
      <c r="F201" s="4" t="n">
        <f aca="false">INDEX(Cartes!$G$2:$G$301,MATCH($A201,Cartes!$A$2:$A$301,0))</f>
        <v>15</v>
      </c>
      <c r="G201" s="4" t="n">
        <f aca="false">INDEX(Cartes!$H$2:$H$301,MATCH($A201,Cartes!$A$2:$A$301,0))</f>
        <v>8</v>
      </c>
      <c r="H201" s="6" t="s">
        <v>16</v>
      </c>
    </row>
    <row r="202" customFormat="false" ht="15" hidden="false" customHeight="true" outlineLevel="0" collapsed="false">
      <c r="A202" s="3" t="n">
        <v>60</v>
      </c>
      <c r="B202" s="4" t="s">
        <v>219</v>
      </c>
      <c r="C202" s="4" t="s">
        <v>9</v>
      </c>
      <c r="D202" s="10" t="s">
        <v>199</v>
      </c>
      <c r="E202" s="4" t="n">
        <f aca="false">INDEX(Cartes!$F$2:$F$301,MATCH($A202,Cartes!$A$2:$A$301,0))</f>
        <v>81</v>
      </c>
      <c r="F202" s="4" t="n">
        <f aca="false">INDEX(Cartes!$G$2:$G$301,MATCH($A202,Cartes!$A$2:$A$301,0))</f>
        <v>8</v>
      </c>
      <c r="G202" s="4" t="n">
        <f aca="false">INDEX(Cartes!$H$2:$H$301,MATCH($A202,Cartes!$A$2:$A$301,0))</f>
        <v>6</v>
      </c>
      <c r="H202" s="6" t="s">
        <v>16</v>
      </c>
    </row>
    <row r="203" customFormat="false" ht="15" hidden="false" customHeight="true" outlineLevel="0" collapsed="false">
      <c r="A203" s="3" t="n">
        <v>111</v>
      </c>
      <c r="B203" s="4" t="s">
        <v>220</v>
      </c>
      <c r="C203" s="4" t="s">
        <v>9</v>
      </c>
      <c r="D203" s="10" t="s">
        <v>199</v>
      </c>
      <c r="E203" s="4" t="n">
        <f aca="false">INDEX(Cartes!$F$2:$F$301,MATCH($A203,Cartes!$A$2:$A$301,0))</f>
        <v>46</v>
      </c>
      <c r="F203" s="4" t="n">
        <f aca="false">INDEX(Cartes!$G$2:$G$301,MATCH($A203,Cartes!$A$2:$A$301,0))</f>
        <v>6</v>
      </c>
      <c r="G203" s="4" t="n">
        <f aca="false">INDEX(Cartes!$H$2:$H$301,MATCH($A203,Cartes!$A$2:$A$301,0))</f>
        <v>15</v>
      </c>
      <c r="H203" s="6" t="s">
        <v>16</v>
      </c>
    </row>
    <row r="204" customFormat="false" ht="15" hidden="false" customHeight="true" outlineLevel="0" collapsed="false">
      <c r="A204" s="3" t="n">
        <v>55</v>
      </c>
      <c r="B204" s="4" t="s">
        <v>221</v>
      </c>
      <c r="C204" s="4" t="s">
        <v>9</v>
      </c>
      <c r="D204" s="10" t="s">
        <v>199</v>
      </c>
      <c r="E204" s="4" t="n">
        <f aca="false">INDEX(Cartes!$F$2:$F$301,MATCH($A204,Cartes!$A$2:$A$301,0))</f>
        <v>40</v>
      </c>
      <c r="F204" s="4" t="n">
        <f aca="false">INDEX(Cartes!$G$2:$G$301,MATCH($A204,Cartes!$A$2:$A$301,0))</f>
        <v>6</v>
      </c>
      <c r="G204" s="4" t="n">
        <f aca="false">INDEX(Cartes!$H$2:$H$301,MATCH($A204,Cartes!$A$2:$A$301,0))</f>
        <v>15</v>
      </c>
      <c r="H204" s="6" t="s">
        <v>20</v>
      </c>
    </row>
    <row r="205" customFormat="false" ht="15" hidden="false" customHeight="true" outlineLevel="0" collapsed="false">
      <c r="A205" s="3" t="n">
        <v>3</v>
      </c>
      <c r="B205" s="4" t="s">
        <v>222</v>
      </c>
      <c r="C205" s="4" t="s">
        <v>9</v>
      </c>
      <c r="D205" s="10" t="s">
        <v>199</v>
      </c>
      <c r="E205" s="4" t="n">
        <f aca="false">INDEX(Cartes!$F$2:$F$301,MATCH($A205,Cartes!$A$2:$A$301,0))</f>
        <v>44</v>
      </c>
      <c r="F205" s="4" t="n">
        <f aca="false">INDEX(Cartes!$G$2:$G$301,MATCH($A205,Cartes!$A$2:$A$301,0))</f>
        <v>6</v>
      </c>
      <c r="G205" s="4" t="n">
        <f aca="false">INDEX(Cartes!$H$2:$H$301,MATCH($A205,Cartes!$A$2:$A$301,0))</f>
        <v>15</v>
      </c>
      <c r="H205" s="6" t="s">
        <v>11</v>
      </c>
    </row>
    <row r="206" customFormat="false" ht="15" hidden="false" customHeight="true" outlineLevel="0" collapsed="false">
      <c r="A206" s="3" t="n">
        <v>61</v>
      </c>
      <c r="B206" s="4" t="s">
        <v>223</v>
      </c>
      <c r="C206" s="4" t="s">
        <v>9</v>
      </c>
      <c r="D206" s="10" t="s">
        <v>199</v>
      </c>
      <c r="E206" s="4" t="n">
        <f aca="false">INDEX(Cartes!$F$2:$F$301,MATCH($A206,Cartes!$A$2:$A$301,0))</f>
        <v>49</v>
      </c>
      <c r="F206" s="4" t="n">
        <f aca="false">INDEX(Cartes!$G$2:$G$301,MATCH($A206,Cartes!$A$2:$A$301,0))</f>
        <v>10</v>
      </c>
      <c r="G206" s="4" t="n">
        <f aca="false">INDEX(Cartes!$H$2:$H$301,MATCH($A206,Cartes!$A$2:$A$301,0))</f>
        <v>10</v>
      </c>
      <c r="H206" s="6" t="s">
        <v>20</v>
      </c>
    </row>
    <row r="207" customFormat="false" ht="15" hidden="false" customHeight="true" outlineLevel="0" collapsed="false">
      <c r="A207" s="3" t="n">
        <v>4</v>
      </c>
      <c r="B207" s="4" t="s">
        <v>224</v>
      </c>
      <c r="C207" s="4" t="s">
        <v>9</v>
      </c>
      <c r="D207" s="10" t="s">
        <v>199</v>
      </c>
      <c r="E207" s="4" t="n">
        <f aca="false">INDEX(Cartes!$F$2:$F$301,MATCH($A207,Cartes!$A$2:$A$301,0))</f>
        <v>82</v>
      </c>
      <c r="F207" s="4" t="n">
        <f aca="false">INDEX(Cartes!$G$2:$G$301,MATCH($A207,Cartes!$A$2:$A$301,0))</f>
        <v>8</v>
      </c>
      <c r="G207" s="4" t="n">
        <f aca="false">INDEX(Cartes!$H$2:$H$301,MATCH($A207,Cartes!$A$2:$A$301,0))</f>
        <v>7</v>
      </c>
      <c r="H207" s="6" t="s">
        <v>11</v>
      </c>
    </row>
    <row r="208" customFormat="false" ht="15" hidden="false" customHeight="true" outlineLevel="0" collapsed="false">
      <c r="A208" s="3" t="n">
        <v>108</v>
      </c>
      <c r="B208" s="4" t="s">
        <v>225</v>
      </c>
      <c r="C208" s="4" t="s">
        <v>9</v>
      </c>
      <c r="D208" s="10" t="s">
        <v>199</v>
      </c>
      <c r="E208" s="4" t="n">
        <f aca="false">INDEX(Cartes!$F$2:$F$301,MATCH($A208,Cartes!$A$2:$A$301,0))</f>
        <v>80</v>
      </c>
      <c r="F208" s="4" t="n">
        <f aca="false">INDEX(Cartes!$G$2:$G$301,MATCH($A208,Cartes!$A$2:$A$301,0))</f>
        <v>8</v>
      </c>
      <c r="G208" s="4" t="n">
        <f aca="false">INDEX(Cartes!$H$2:$H$301,MATCH($A208,Cartes!$A$2:$A$301,0))</f>
        <v>6</v>
      </c>
      <c r="H208" s="6" t="s">
        <v>11</v>
      </c>
    </row>
    <row r="209" customFormat="false" ht="15" hidden="false" customHeight="true" outlineLevel="0" collapsed="false">
      <c r="A209" s="3" t="n">
        <v>87</v>
      </c>
      <c r="B209" s="4" t="s">
        <v>226</v>
      </c>
      <c r="C209" s="4" t="s">
        <v>9</v>
      </c>
      <c r="D209" s="10" t="s">
        <v>199</v>
      </c>
      <c r="E209" s="4" t="n">
        <f aca="false">INDEX(Cartes!$F$2:$F$301,MATCH($A209,Cartes!$A$2:$A$301,0))</f>
        <v>43</v>
      </c>
      <c r="F209" s="4" t="n">
        <f aca="false">INDEX(Cartes!$G$2:$G$301,MATCH($A209,Cartes!$A$2:$A$301,0))</f>
        <v>6</v>
      </c>
      <c r="G209" s="4" t="n">
        <f aca="false">INDEX(Cartes!$H$2:$H$301,MATCH($A209,Cartes!$A$2:$A$301,0))</f>
        <v>15</v>
      </c>
      <c r="H209" s="6" t="s">
        <v>16</v>
      </c>
    </row>
    <row r="210" customFormat="false" ht="15" hidden="false" customHeight="true" outlineLevel="0" collapsed="false">
      <c r="A210" s="3" t="n">
        <v>50</v>
      </c>
      <c r="B210" s="4" t="s">
        <v>227</v>
      </c>
      <c r="C210" s="4" t="s">
        <v>9</v>
      </c>
      <c r="D210" s="10" t="s">
        <v>199</v>
      </c>
      <c r="E210" s="4" t="n">
        <f aca="false">INDEX(Cartes!$F$2:$F$301,MATCH($A210,Cartes!$A$2:$A$301,0))</f>
        <v>34</v>
      </c>
      <c r="F210" s="4" t="n">
        <f aca="false">INDEX(Cartes!$G$2:$G$301,MATCH($A210,Cartes!$A$2:$A$301,0))</f>
        <v>16</v>
      </c>
      <c r="G210" s="4" t="n">
        <f aca="false">INDEX(Cartes!$H$2:$H$301,MATCH($A210,Cartes!$A$2:$A$301,0))</f>
        <v>7</v>
      </c>
      <c r="H210" s="6" t="s">
        <v>16</v>
      </c>
    </row>
    <row r="211" customFormat="false" ht="15" hidden="false" customHeight="true" outlineLevel="0" collapsed="false">
      <c r="A211" s="3" t="n">
        <v>24</v>
      </c>
      <c r="B211" s="4" t="s">
        <v>228</v>
      </c>
      <c r="C211" s="4" t="s">
        <v>9</v>
      </c>
      <c r="D211" s="10" t="s">
        <v>199</v>
      </c>
      <c r="E211" s="4" t="n">
        <f aca="false">INDEX(Cartes!$F$2:$F$301,MATCH($A211,Cartes!$A$2:$A$301,0))</f>
        <v>87</v>
      </c>
      <c r="F211" s="4" t="n">
        <f aca="false">INDEX(Cartes!$G$2:$G$301,MATCH($A211,Cartes!$A$2:$A$301,0))</f>
        <v>7</v>
      </c>
      <c r="G211" s="4" t="n">
        <f aca="false">INDEX(Cartes!$H$2:$H$301,MATCH($A211,Cartes!$A$2:$A$301,0))</f>
        <v>6</v>
      </c>
      <c r="H211" s="6" t="s">
        <v>13</v>
      </c>
    </row>
    <row r="212" customFormat="false" ht="15" hidden="false" customHeight="true" outlineLevel="0" collapsed="false">
      <c r="A212" s="3" t="n">
        <v>101</v>
      </c>
      <c r="B212" s="4" t="s">
        <v>229</v>
      </c>
      <c r="C212" s="4" t="s">
        <v>9</v>
      </c>
      <c r="D212" s="10" t="s">
        <v>199</v>
      </c>
      <c r="E212" s="4" t="n">
        <f aca="false">INDEX(Cartes!$F$2:$F$301,MATCH($A212,Cartes!$A$2:$A$301,0))</f>
        <v>49</v>
      </c>
      <c r="F212" s="4" t="n">
        <f aca="false">INDEX(Cartes!$G$2:$G$301,MATCH($A212,Cartes!$A$2:$A$301,0))</f>
        <v>10</v>
      </c>
      <c r="G212" s="4" t="n">
        <f aca="false">INDEX(Cartes!$H$2:$H$301,MATCH($A212,Cartes!$A$2:$A$301,0))</f>
        <v>10</v>
      </c>
      <c r="H212" s="6" t="s">
        <v>16</v>
      </c>
    </row>
    <row r="213" customFormat="false" ht="15" hidden="false" customHeight="true" outlineLevel="0" collapsed="false">
      <c r="A213" s="3" t="n">
        <v>76</v>
      </c>
      <c r="B213" s="4" t="s">
        <v>230</v>
      </c>
      <c r="C213" s="4" t="s">
        <v>9</v>
      </c>
      <c r="D213" s="10" t="s">
        <v>199</v>
      </c>
      <c r="E213" s="4" t="n">
        <f aca="false">INDEX(Cartes!$F$2:$F$301,MATCH($A213,Cartes!$A$2:$A$301,0))</f>
        <v>80</v>
      </c>
      <c r="F213" s="4" t="n">
        <f aca="false">INDEX(Cartes!$G$2:$G$301,MATCH($A213,Cartes!$A$2:$A$301,0))</f>
        <v>8</v>
      </c>
      <c r="G213" s="4" t="n">
        <f aca="false">INDEX(Cartes!$H$2:$H$301,MATCH($A213,Cartes!$A$2:$A$301,0))</f>
        <v>7</v>
      </c>
      <c r="H213" s="6" t="s">
        <v>20</v>
      </c>
    </row>
    <row r="214" customFormat="false" ht="15" hidden="false" customHeight="true" outlineLevel="0" collapsed="false">
      <c r="A214" s="3" t="n">
        <v>44</v>
      </c>
      <c r="B214" s="4" t="s">
        <v>231</v>
      </c>
      <c r="C214" s="4" t="s">
        <v>9</v>
      </c>
      <c r="D214" s="10" t="s">
        <v>199</v>
      </c>
      <c r="E214" s="4" t="n">
        <f aca="false">INDEX(Cartes!$F$2:$F$301,MATCH($A214,Cartes!$A$2:$A$301,0))</f>
        <v>82</v>
      </c>
      <c r="F214" s="4" t="n">
        <f aca="false">INDEX(Cartes!$G$2:$G$301,MATCH($A214,Cartes!$A$2:$A$301,0))</f>
        <v>7</v>
      </c>
      <c r="G214" s="4" t="n">
        <f aca="false">INDEX(Cartes!$H$2:$H$301,MATCH($A214,Cartes!$A$2:$A$301,0))</f>
        <v>7</v>
      </c>
      <c r="H214" s="6" t="s">
        <v>13</v>
      </c>
    </row>
    <row r="215" customFormat="false" ht="15" hidden="false" customHeight="true" outlineLevel="0" collapsed="false">
      <c r="A215" s="3" t="n">
        <v>104</v>
      </c>
      <c r="B215" s="4" t="s">
        <v>232</v>
      </c>
      <c r="C215" s="4" t="s">
        <v>9</v>
      </c>
      <c r="D215" s="10" t="s">
        <v>199</v>
      </c>
      <c r="E215" s="4" t="n">
        <f aca="false">INDEX(Cartes!$F$2:$F$301,MATCH($A215,Cartes!$A$2:$A$301,0))</f>
        <v>83</v>
      </c>
      <c r="F215" s="4" t="n">
        <f aca="false">INDEX(Cartes!$G$2:$G$301,MATCH($A215,Cartes!$A$2:$A$301,0))</f>
        <v>8</v>
      </c>
      <c r="G215" s="4" t="n">
        <f aca="false">INDEX(Cartes!$H$2:$H$301,MATCH($A215,Cartes!$A$2:$A$301,0))</f>
        <v>6</v>
      </c>
      <c r="H215" s="6" t="s">
        <v>11</v>
      </c>
    </row>
    <row r="216" customFormat="false" ht="15" hidden="false" customHeight="true" outlineLevel="0" collapsed="false">
      <c r="A216" s="3" t="n">
        <v>110</v>
      </c>
      <c r="B216" s="4" t="s">
        <v>233</v>
      </c>
      <c r="C216" s="4" t="s">
        <v>9</v>
      </c>
      <c r="D216" s="10" t="s">
        <v>199</v>
      </c>
      <c r="E216" s="4" t="n">
        <f aca="false">INDEX(Cartes!$F$2:$F$301,MATCH($A216,Cartes!$A$2:$A$301,0))</f>
        <v>36</v>
      </c>
      <c r="F216" s="4" t="n">
        <f aca="false">INDEX(Cartes!$G$2:$G$301,MATCH($A216,Cartes!$A$2:$A$301,0))</f>
        <v>15</v>
      </c>
      <c r="G216" s="4" t="n">
        <f aca="false">INDEX(Cartes!$H$2:$H$301,MATCH($A216,Cartes!$A$2:$A$301,0))</f>
        <v>8</v>
      </c>
      <c r="H216" s="6" t="s">
        <v>11</v>
      </c>
    </row>
    <row r="217" customFormat="false" ht="15" hidden="false" customHeight="true" outlineLevel="0" collapsed="false">
      <c r="A217" s="3" t="n">
        <v>51</v>
      </c>
      <c r="B217" s="4" t="s">
        <v>234</v>
      </c>
      <c r="C217" s="4" t="s">
        <v>9</v>
      </c>
      <c r="D217" s="10" t="s">
        <v>199</v>
      </c>
      <c r="E217" s="4" t="n">
        <f aca="false">INDEX(Cartes!$F$2:$F$301,MATCH($A217,Cartes!$A$2:$A$301,0))</f>
        <v>45</v>
      </c>
      <c r="F217" s="4" t="n">
        <f aca="false">INDEX(Cartes!$G$2:$G$301,MATCH($A217,Cartes!$A$2:$A$301,0))</f>
        <v>6</v>
      </c>
      <c r="G217" s="4" t="n">
        <f aca="false">INDEX(Cartes!$H$2:$H$301,MATCH($A217,Cartes!$A$2:$A$301,0))</f>
        <v>15</v>
      </c>
      <c r="H217" s="6" t="s">
        <v>20</v>
      </c>
    </row>
    <row r="218" customFormat="false" ht="15" hidden="false" customHeight="true" outlineLevel="0" collapsed="false">
      <c r="A218" s="3" t="n">
        <v>46</v>
      </c>
      <c r="B218" s="4" t="s">
        <v>235</v>
      </c>
      <c r="C218" s="4" t="s">
        <v>9</v>
      </c>
      <c r="D218" s="10" t="s">
        <v>199</v>
      </c>
      <c r="E218" s="4" t="n">
        <f aca="false">INDEX(Cartes!$F$2:$F$301,MATCH($A218,Cartes!$A$2:$A$301,0))</f>
        <v>33</v>
      </c>
      <c r="F218" s="4" t="n">
        <f aca="false">INDEX(Cartes!$G$2:$G$301,MATCH($A218,Cartes!$A$2:$A$301,0))</f>
        <v>15</v>
      </c>
      <c r="G218" s="4" t="n">
        <f aca="false">INDEX(Cartes!$H$2:$H$301,MATCH($A218,Cartes!$A$2:$A$301,0))</f>
        <v>8</v>
      </c>
      <c r="H218" s="6" t="s">
        <v>13</v>
      </c>
    </row>
    <row r="219" customFormat="false" ht="15" hidden="false" customHeight="true" outlineLevel="0" collapsed="false">
      <c r="A219" s="3" t="n">
        <v>78</v>
      </c>
      <c r="B219" s="4" t="s">
        <v>236</v>
      </c>
      <c r="C219" s="4" t="s">
        <v>9</v>
      </c>
      <c r="D219" s="10" t="s">
        <v>199</v>
      </c>
      <c r="E219" s="4" t="n">
        <f aca="false">INDEX(Cartes!$F$2:$F$301,MATCH($A219,Cartes!$A$2:$A$301,0))</f>
        <v>40</v>
      </c>
      <c r="F219" s="4" t="n">
        <f aca="false">INDEX(Cartes!$G$2:$G$301,MATCH($A219,Cartes!$A$2:$A$301,0))</f>
        <v>15</v>
      </c>
      <c r="G219" s="4" t="n">
        <f aca="false">INDEX(Cartes!$H$2:$H$301,MATCH($A219,Cartes!$A$2:$A$301,0))</f>
        <v>8</v>
      </c>
      <c r="H219" s="6" t="s">
        <v>13</v>
      </c>
    </row>
    <row r="220" customFormat="false" ht="15" hidden="false" customHeight="true" outlineLevel="0" collapsed="false">
      <c r="A220" s="3" t="n">
        <v>5</v>
      </c>
      <c r="B220" s="4" t="s">
        <v>237</v>
      </c>
      <c r="C220" s="4" t="s">
        <v>9</v>
      </c>
      <c r="D220" s="10" t="s">
        <v>199</v>
      </c>
      <c r="E220" s="4" t="n">
        <f aca="false">INDEX(Cartes!$F$2:$F$301,MATCH($A220,Cartes!$A$2:$A$301,0))</f>
        <v>52</v>
      </c>
      <c r="F220" s="4" t="n">
        <f aca="false">INDEX(Cartes!$G$2:$G$301,MATCH($A220,Cartes!$A$2:$A$301,0))</f>
        <v>10</v>
      </c>
      <c r="G220" s="4" t="n">
        <f aca="false">INDEX(Cartes!$H$2:$H$301,MATCH($A220,Cartes!$A$2:$A$301,0))</f>
        <v>9</v>
      </c>
      <c r="H220" s="6" t="s">
        <v>20</v>
      </c>
    </row>
    <row r="221" customFormat="false" ht="15" hidden="false" customHeight="true" outlineLevel="0" collapsed="false">
      <c r="A221" s="3" t="n">
        <v>49</v>
      </c>
      <c r="B221" s="4" t="s">
        <v>238</v>
      </c>
      <c r="C221" s="4" t="s">
        <v>9</v>
      </c>
      <c r="D221" s="10" t="s">
        <v>199</v>
      </c>
      <c r="E221" s="4" t="n">
        <f aca="false">INDEX(Cartes!$F$2:$F$301,MATCH($A221,Cartes!$A$2:$A$301,0))</f>
        <v>50</v>
      </c>
      <c r="F221" s="4" t="n">
        <f aca="false">INDEX(Cartes!$G$2:$G$301,MATCH($A221,Cartes!$A$2:$A$301,0))</f>
        <v>10</v>
      </c>
      <c r="G221" s="4" t="n">
        <f aca="false">INDEX(Cartes!$H$2:$H$301,MATCH($A221,Cartes!$A$2:$A$301,0))</f>
        <v>11</v>
      </c>
      <c r="H221" s="6" t="s">
        <v>13</v>
      </c>
    </row>
    <row r="222" customFormat="false" ht="15" hidden="false" customHeight="true" outlineLevel="0" collapsed="false">
      <c r="A222" s="3" t="n">
        <v>116</v>
      </c>
      <c r="B222" s="4" t="s">
        <v>239</v>
      </c>
      <c r="C222" s="4" t="s">
        <v>9</v>
      </c>
      <c r="D222" s="10" t="s">
        <v>199</v>
      </c>
      <c r="E222" s="4" t="n">
        <f aca="false">INDEX(Cartes!$F$2:$F$301,MATCH($A222,Cartes!$A$2:$A$301,0))</f>
        <v>82</v>
      </c>
      <c r="F222" s="4" t="n">
        <f aca="false">INDEX(Cartes!$G$2:$G$301,MATCH($A222,Cartes!$A$2:$A$301,0))</f>
        <v>8</v>
      </c>
      <c r="G222" s="4" t="n">
        <f aca="false">INDEX(Cartes!$H$2:$H$301,MATCH($A222,Cartes!$A$2:$A$301,0))</f>
        <v>5</v>
      </c>
      <c r="H222" s="6" t="s">
        <v>20</v>
      </c>
    </row>
    <row r="223" customFormat="false" ht="15" hidden="false" customHeight="true" outlineLevel="0" collapsed="false">
      <c r="A223" s="3" t="n">
        <v>39</v>
      </c>
      <c r="B223" s="4" t="s">
        <v>240</v>
      </c>
      <c r="C223" s="4" t="s">
        <v>9</v>
      </c>
      <c r="D223" s="10" t="s">
        <v>199</v>
      </c>
      <c r="E223" s="4" t="n">
        <f aca="false">INDEX(Cartes!$F$2:$F$301,MATCH($A223,Cartes!$A$2:$A$301,0))</f>
        <v>44</v>
      </c>
      <c r="F223" s="4" t="n">
        <f aca="false">INDEX(Cartes!$G$2:$G$301,MATCH($A223,Cartes!$A$2:$A$301,0))</f>
        <v>5</v>
      </c>
      <c r="G223" s="4" t="n">
        <f aca="false">INDEX(Cartes!$H$2:$H$301,MATCH($A223,Cartes!$A$2:$A$301,0))</f>
        <v>15</v>
      </c>
      <c r="H223" s="6" t="s">
        <v>20</v>
      </c>
    </row>
    <row r="224" customFormat="false" ht="15" hidden="false" customHeight="true" outlineLevel="0" collapsed="false">
      <c r="A224" s="3" t="n">
        <v>75</v>
      </c>
      <c r="B224" s="4" t="s">
        <v>241</v>
      </c>
      <c r="C224" s="4" t="s">
        <v>9</v>
      </c>
      <c r="D224" s="10" t="s">
        <v>199</v>
      </c>
      <c r="E224" s="4" t="n">
        <f aca="false">INDEX(Cartes!$F$2:$F$301,MATCH($A224,Cartes!$A$2:$A$301,0))</f>
        <v>48</v>
      </c>
      <c r="F224" s="4" t="n">
        <f aca="false">INDEX(Cartes!$G$2:$G$301,MATCH($A224,Cartes!$A$2:$A$301,0))</f>
        <v>6</v>
      </c>
      <c r="G224" s="4" t="n">
        <f aca="false">INDEX(Cartes!$H$2:$H$301,MATCH($A224,Cartes!$A$2:$A$301,0))</f>
        <v>15</v>
      </c>
      <c r="H224" s="6" t="s">
        <v>13</v>
      </c>
    </row>
    <row r="225" customFormat="false" ht="15" hidden="false" customHeight="true" outlineLevel="0" collapsed="false">
      <c r="A225" s="3" t="n">
        <v>11</v>
      </c>
      <c r="B225" s="4" t="s">
        <v>242</v>
      </c>
      <c r="C225" s="4" t="s">
        <v>9</v>
      </c>
      <c r="D225" s="10" t="s">
        <v>199</v>
      </c>
      <c r="E225" s="4" t="n">
        <f aca="false">INDEX(Cartes!$F$2:$F$301,MATCH($A225,Cartes!$A$2:$A$301,0))</f>
        <v>48</v>
      </c>
      <c r="F225" s="4" t="n">
        <f aca="false">INDEX(Cartes!$G$2:$G$301,MATCH($A225,Cartes!$A$2:$A$301,0))</f>
        <v>6</v>
      </c>
      <c r="G225" s="4" t="n">
        <f aca="false">INDEX(Cartes!$H$2:$H$301,MATCH($A225,Cartes!$A$2:$A$301,0))</f>
        <v>15</v>
      </c>
      <c r="H225" s="6" t="s">
        <v>20</v>
      </c>
    </row>
    <row r="226" customFormat="false" ht="15" hidden="false" customHeight="true" outlineLevel="0" collapsed="false">
      <c r="A226" s="3" t="n">
        <v>114</v>
      </c>
      <c r="B226" s="4" t="s">
        <v>243</v>
      </c>
      <c r="C226" s="4" t="s">
        <v>9</v>
      </c>
      <c r="D226" s="10" t="s">
        <v>199</v>
      </c>
      <c r="E226" s="4" t="n">
        <f aca="false">INDEX(Cartes!$F$2:$F$301,MATCH($A226,Cartes!$A$2:$A$301,0))</f>
        <v>35</v>
      </c>
      <c r="F226" s="4" t="n">
        <f aca="false">INDEX(Cartes!$G$2:$G$301,MATCH($A226,Cartes!$A$2:$A$301,0))</f>
        <v>15</v>
      </c>
      <c r="G226" s="4" t="n">
        <f aca="false">INDEX(Cartes!$H$2:$H$301,MATCH($A226,Cartes!$A$2:$A$301,0))</f>
        <v>8</v>
      </c>
      <c r="H226" s="6" t="s">
        <v>13</v>
      </c>
    </row>
    <row r="227" customFormat="false" ht="15" hidden="false" customHeight="true" outlineLevel="0" collapsed="false">
      <c r="A227" s="3" t="n">
        <v>105</v>
      </c>
      <c r="B227" s="4" t="s">
        <v>244</v>
      </c>
      <c r="C227" s="4" t="s">
        <v>9</v>
      </c>
      <c r="D227" s="10" t="s">
        <v>199</v>
      </c>
      <c r="E227" s="4" t="n">
        <f aca="false">INDEX(Cartes!$F$2:$F$301,MATCH($A227,Cartes!$A$2:$A$301,0))</f>
        <v>47</v>
      </c>
      <c r="F227" s="4" t="n">
        <f aca="false">INDEX(Cartes!$G$2:$G$301,MATCH($A227,Cartes!$A$2:$A$301,0))</f>
        <v>11</v>
      </c>
      <c r="G227" s="4" t="n">
        <f aca="false">INDEX(Cartes!$H$2:$H$301,MATCH($A227,Cartes!$A$2:$A$301,0))</f>
        <v>9</v>
      </c>
      <c r="H227" s="6" t="s">
        <v>11</v>
      </c>
    </row>
    <row r="228" customFormat="false" ht="15" hidden="false" customHeight="true" outlineLevel="0" collapsed="false">
      <c r="A228" s="3" t="n">
        <v>82</v>
      </c>
      <c r="B228" s="4" t="s">
        <v>245</v>
      </c>
      <c r="C228" s="4" t="s">
        <v>9</v>
      </c>
      <c r="D228" s="10" t="s">
        <v>199</v>
      </c>
      <c r="E228" s="4" t="n">
        <f aca="false">INDEX(Cartes!$F$2:$F$301,MATCH($A228,Cartes!$A$2:$A$301,0))</f>
        <v>35</v>
      </c>
      <c r="F228" s="4" t="n">
        <f aca="false">INDEX(Cartes!$G$2:$G$301,MATCH($A228,Cartes!$A$2:$A$301,0))</f>
        <v>15</v>
      </c>
      <c r="G228" s="4" t="n">
        <f aca="false">INDEX(Cartes!$H$2:$H$301,MATCH($A228,Cartes!$A$2:$A$301,0))</f>
        <v>8</v>
      </c>
      <c r="H228" s="6" t="s">
        <v>13</v>
      </c>
    </row>
    <row r="229" customFormat="false" ht="15" hidden="false" customHeight="true" outlineLevel="0" collapsed="false">
      <c r="A229" s="3" t="n">
        <v>19</v>
      </c>
      <c r="B229" s="4" t="s">
        <v>246</v>
      </c>
      <c r="C229" s="4" t="s">
        <v>9</v>
      </c>
      <c r="D229" s="10" t="s">
        <v>199</v>
      </c>
      <c r="E229" s="4" t="n">
        <f aca="false">INDEX(Cartes!$F$2:$F$301,MATCH($A229,Cartes!$A$2:$A$301,0))</f>
        <v>46</v>
      </c>
      <c r="F229" s="4" t="n">
        <f aca="false">INDEX(Cartes!$G$2:$G$301,MATCH($A229,Cartes!$A$2:$A$301,0))</f>
        <v>7</v>
      </c>
      <c r="G229" s="4" t="n">
        <f aca="false">INDEX(Cartes!$H$2:$H$301,MATCH($A229,Cartes!$A$2:$A$301,0))</f>
        <v>14</v>
      </c>
      <c r="H229" s="6" t="s">
        <v>20</v>
      </c>
    </row>
    <row r="230" customFormat="false" ht="15" hidden="false" customHeight="true" outlineLevel="0" collapsed="false">
      <c r="A230" s="3" t="n">
        <v>48</v>
      </c>
      <c r="B230" s="4" t="s">
        <v>247</v>
      </c>
      <c r="C230" s="4" t="s">
        <v>9</v>
      </c>
      <c r="D230" s="10" t="s">
        <v>199</v>
      </c>
      <c r="E230" s="4" t="n">
        <f aca="false">INDEX(Cartes!$F$2:$F$301,MATCH($A230,Cartes!$A$2:$A$301,0))</f>
        <v>82</v>
      </c>
      <c r="F230" s="4" t="n">
        <f aca="false">INDEX(Cartes!$G$2:$G$301,MATCH($A230,Cartes!$A$2:$A$301,0))</f>
        <v>7</v>
      </c>
      <c r="G230" s="4" t="n">
        <f aca="false">INDEX(Cartes!$H$2:$H$301,MATCH($A230,Cartes!$A$2:$A$301,0))</f>
        <v>6</v>
      </c>
      <c r="H230" s="6" t="s">
        <v>11</v>
      </c>
    </row>
    <row r="231" customFormat="false" ht="15" hidden="false" customHeight="true" outlineLevel="0" collapsed="false">
      <c r="A231" s="3" t="n">
        <v>38</v>
      </c>
      <c r="B231" s="4" t="s">
        <v>248</v>
      </c>
      <c r="C231" s="4" t="s">
        <v>9</v>
      </c>
      <c r="D231" s="10" t="s">
        <v>199</v>
      </c>
      <c r="E231" s="4" t="n">
        <f aca="false">INDEX(Cartes!$F$2:$F$301,MATCH($A231,Cartes!$A$2:$A$301,0))</f>
        <v>36</v>
      </c>
      <c r="F231" s="4" t="n">
        <f aca="false">INDEX(Cartes!$G$2:$G$301,MATCH($A231,Cartes!$A$2:$A$301,0))</f>
        <v>16</v>
      </c>
      <c r="G231" s="4" t="n">
        <f aca="false">INDEX(Cartes!$H$2:$H$301,MATCH($A231,Cartes!$A$2:$A$301,0))</f>
        <v>8</v>
      </c>
      <c r="H231" s="6" t="s">
        <v>11</v>
      </c>
    </row>
    <row r="232" customFormat="false" ht="15" hidden="false" customHeight="true" outlineLevel="0" collapsed="false">
      <c r="A232" s="3" t="n">
        <v>8</v>
      </c>
      <c r="B232" s="4" t="s">
        <v>249</v>
      </c>
      <c r="C232" s="4" t="s">
        <v>9</v>
      </c>
      <c r="D232" s="10" t="s">
        <v>199</v>
      </c>
      <c r="E232" s="4" t="n">
        <f aca="false">INDEX(Cartes!$F$2:$F$301,MATCH($A232,Cartes!$A$2:$A$301,0))</f>
        <v>80</v>
      </c>
      <c r="F232" s="4" t="n">
        <f aca="false">INDEX(Cartes!$G$2:$G$301,MATCH($A232,Cartes!$A$2:$A$301,0))</f>
        <v>7</v>
      </c>
      <c r="G232" s="4" t="n">
        <f aca="false">INDEX(Cartes!$H$2:$H$301,MATCH($A232,Cartes!$A$2:$A$301,0))</f>
        <v>7</v>
      </c>
      <c r="H232" s="6" t="s">
        <v>13</v>
      </c>
    </row>
    <row r="233" customFormat="false" ht="15" hidden="false" customHeight="true" outlineLevel="0" collapsed="false">
      <c r="A233" s="3" t="n">
        <v>73</v>
      </c>
      <c r="B233" s="4" t="s">
        <v>250</v>
      </c>
      <c r="C233" s="4" t="s">
        <v>9</v>
      </c>
      <c r="D233" s="10" t="s">
        <v>199</v>
      </c>
      <c r="E233" s="4" t="n">
        <f aca="false">INDEX(Cartes!$F$2:$F$301,MATCH($A233,Cartes!$A$2:$A$301,0))</f>
        <v>52</v>
      </c>
      <c r="F233" s="4" t="n">
        <f aca="false">INDEX(Cartes!$G$2:$G$301,MATCH($A233,Cartes!$A$2:$A$301,0))</f>
        <v>11</v>
      </c>
      <c r="G233" s="4" t="n">
        <f aca="false">INDEX(Cartes!$H$2:$H$301,MATCH($A233,Cartes!$A$2:$A$301,0))</f>
        <v>10</v>
      </c>
      <c r="H233" s="6" t="s">
        <v>11</v>
      </c>
    </row>
    <row r="234" customFormat="false" ht="15" hidden="false" customHeight="true" outlineLevel="0" collapsed="false">
      <c r="A234" s="3" t="n">
        <v>93</v>
      </c>
      <c r="B234" s="4" t="s">
        <v>251</v>
      </c>
      <c r="C234" s="4" t="s">
        <v>9</v>
      </c>
      <c r="D234" s="10" t="s">
        <v>199</v>
      </c>
      <c r="E234" s="4" t="n">
        <f aca="false">INDEX(Cartes!$F$2:$F$301,MATCH($A234,Cartes!$A$2:$A$301,0))</f>
        <v>54</v>
      </c>
      <c r="F234" s="4" t="n">
        <f aca="false">INDEX(Cartes!$G$2:$G$301,MATCH($A234,Cartes!$A$2:$A$301,0))</f>
        <v>10</v>
      </c>
      <c r="G234" s="4" t="n">
        <f aca="false">INDEX(Cartes!$H$2:$H$301,MATCH($A234,Cartes!$A$2:$A$301,0))</f>
        <v>10</v>
      </c>
      <c r="H234" s="6" t="s">
        <v>11</v>
      </c>
    </row>
    <row r="235" customFormat="false" ht="15" hidden="false" customHeight="true" outlineLevel="0" collapsed="false">
      <c r="A235" s="3" t="n">
        <v>63</v>
      </c>
      <c r="B235" s="4" t="s">
        <v>252</v>
      </c>
      <c r="C235" s="4" t="s">
        <v>9</v>
      </c>
      <c r="D235" s="10" t="s">
        <v>199</v>
      </c>
      <c r="E235" s="4" t="n">
        <f aca="false">INDEX(Cartes!$F$2:$F$301,MATCH($A235,Cartes!$A$2:$A$301,0))</f>
        <v>42</v>
      </c>
      <c r="F235" s="4" t="n">
        <f aca="false">INDEX(Cartes!$G$2:$G$301,MATCH($A235,Cartes!$A$2:$A$301,0))</f>
        <v>7</v>
      </c>
      <c r="G235" s="4" t="n">
        <f aca="false">INDEX(Cartes!$H$2:$H$301,MATCH($A235,Cartes!$A$2:$A$301,0))</f>
        <v>15</v>
      </c>
      <c r="H235" s="6" t="s">
        <v>20</v>
      </c>
    </row>
    <row r="236" customFormat="false" ht="15" hidden="false" customHeight="true" outlineLevel="0" collapsed="false">
      <c r="A236" s="3" t="n">
        <v>66</v>
      </c>
      <c r="B236" s="4" t="s">
        <v>253</v>
      </c>
      <c r="C236" s="4" t="s">
        <v>9</v>
      </c>
      <c r="D236" s="10" t="s">
        <v>199</v>
      </c>
      <c r="E236" s="4" t="n">
        <f aca="false">INDEX(Cartes!$F$2:$F$301,MATCH($A236,Cartes!$A$2:$A$301,0))</f>
        <v>39</v>
      </c>
      <c r="F236" s="4" t="n">
        <f aca="false">INDEX(Cartes!$G$2:$G$301,MATCH($A236,Cartes!$A$2:$A$301,0))</f>
        <v>15</v>
      </c>
      <c r="G236" s="4" t="n">
        <f aca="false">INDEX(Cartes!$H$2:$H$301,MATCH($A236,Cartes!$A$2:$A$301,0))</f>
        <v>8</v>
      </c>
      <c r="H236" s="6" t="s">
        <v>16</v>
      </c>
    </row>
    <row r="237" customFormat="false" ht="15" hidden="false" customHeight="true" outlineLevel="0" collapsed="false">
      <c r="A237" s="3" t="n">
        <v>80</v>
      </c>
      <c r="B237" s="4" t="s">
        <v>254</v>
      </c>
      <c r="C237" s="4" t="s">
        <v>9</v>
      </c>
      <c r="D237" s="10" t="s">
        <v>199</v>
      </c>
      <c r="E237" s="4" t="n">
        <f aca="false">INDEX(Cartes!$F$2:$F$301,MATCH($A237,Cartes!$A$2:$A$301,0))</f>
        <v>85</v>
      </c>
      <c r="F237" s="4" t="n">
        <f aca="false">INDEX(Cartes!$G$2:$G$301,MATCH($A237,Cartes!$A$2:$A$301,0))</f>
        <v>7</v>
      </c>
      <c r="G237" s="4" t="n">
        <f aca="false">INDEX(Cartes!$H$2:$H$301,MATCH($A237,Cartes!$A$2:$A$301,0))</f>
        <v>5</v>
      </c>
      <c r="H237" s="6" t="s">
        <v>20</v>
      </c>
    </row>
    <row r="238" customFormat="false" ht="15" hidden="false" customHeight="true" outlineLevel="0" collapsed="false">
      <c r="A238" s="3" t="n">
        <v>17</v>
      </c>
      <c r="B238" s="4" t="s">
        <v>255</v>
      </c>
      <c r="C238" s="4" t="s">
        <v>9</v>
      </c>
      <c r="D238" s="10" t="s">
        <v>199</v>
      </c>
      <c r="E238" s="4" t="n">
        <f aca="false">INDEX(Cartes!$F$2:$F$301,MATCH($A238,Cartes!$A$2:$A$301,0))</f>
        <v>52</v>
      </c>
      <c r="F238" s="4" t="n">
        <f aca="false">INDEX(Cartes!$G$2:$G$301,MATCH($A238,Cartes!$A$2:$A$301,0))</f>
        <v>10</v>
      </c>
      <c r="G238" s="4" t="n">
        <f aca="false">INDEX(Cartes!$H$2:$H$301,MATCH($A238,Cartes!$A$2:$A$301,0))</f>
        <v>10</v>
      </c>
      <c r="H238" s="6" t="s">
        <v>13</v>
      </c>
    </row>
    <row r="239" customFormat="false" ht="15" hidden="false" customHeight="true" outlineLevel="0" collapsed="false">
      <c r="A239" s="3" t="n">
        <v>96</v>
      </c>
      <c r="B239" s="4" t="s">
        <v>256</v>
      </c>
      <c r="C239" s="4" t="s">
        <v>9</v>
      </c>
      <c r="D239" s="10" t="s">
        <v>199</v>
      </c>
      <c r="E239" s="4" t="n">
        <f aca="false">INDEX(Cartes!$F$2:$F$301,MATCH($A239,Cartes!$A$2:$A$301,0))</f>
        <v>85</v>
      </c>
      <c r="F239" s="4" t="n">
        <f aca="false">INDEX(Cartes!$G$2:$G$301,MATCH($A239,Cartes!$A$2:$A$301,0))</f>
        <v>8</v>
      </c>
      <c r="G239" s="4" t="n">
        <f aca="false">INDEX(Cartes!$H$2:$H$301,MATCH($A239,Cartes!$A$2:$A$301,0))</f>
        <v>5</v>
      </c>
      <c r="H239" s="6" t="s">
        <v>13</v>
      </c>
    </row>
    <row r="240" customFormat="false" ht="15" hidden="false" customHeight="true" outlineLevel="0" collapsed="false">
      <c r="A240" s="3" t="n">
        <v>99</v>
      </c>
      <c r="B240" s="4" t="s">
        <v>257</v>
      </c>
      <c r="C240" s="4" t="s">
        <v>9</v>
      </c>
      <c r="D240" s="10" t="s">
        <v>199</v>
      </c>
      <c r="E240" s="4" t="n">
        <f aca="false">INDEX(Cartes!$F$2:$F$301,MATCH($A240,Cartes!$A$2:$A$301,0))</f>
        <v>45</v>
      </c>
      <c r="F240" s="4" t="n">
        <f aca="false">INDEX(Cartes!$G$2:$G$301,MATCH($A240,Cartes!$A$2:$A$301,0))</f>
        <v>6</v>
      </c>
      <c r="G240" s="4" t="n">
        <f aca="false">INDEX(Cartes!$H$2:$H$301,MATCH($A240,Cartes!$A$2:$A$301,0))</f>
        <v>15</v>
      </c>
      <c r="H240" s="6" t="s">
        <v>13</v>
      </c>
    </row>
    <row r="241" customFormat="false" ht="15" hidden="false" customHeight="true" outlineLevel="0" collapsed="false">
      <c r="A241" s="3" t="n">
        <v>32</v>
      </c>
      <c r="B241" s="4" t="s">
        <v>258</v>
      </c>
      <c r="C241" s="4" t="s">
        <v>9</v>
      </c>
      <c r="D241" s="10" t="s">
        <v>199</v>
      </c>
      <c r="E241" s="4" t="n">
        <f aca="false">INDEX(Cartes!$F$2:$F$301,MATCH($A241,Cartes!$A$2:$A$301,0))</f>
        <v>84</v>
      </c>
      <c r="F241" s="4" t="n">
        <f aca="false">INDEX(Cartes!$G$2:$G$301,MATCH($A241,Cartes!$A$2:$A$301,0))</f>
        <v>7</v>
      </c>
      <c r="G241" s="4" t="n">
        <f aca="false">INDEX(Cartes!$H$2:$H$301,MATCH($A241,Cartes!$A$2:$A$301,0))</f>
        <v>6</v>
      </c>
      <c r="H241" s="6" t="s">
        <v>11</v>
      </c>
    </row>
    <row r="242" customFormat="false" ht="15" hidden="false" customHeight="true" outlineLevel="0" collapsed="false">
      <c r="A242" s="3" t="n">
        <v>69</v>
      </c>
      <c r="B242" s="4" t="s">
        <v>259</v>
      </c>
      <c r="C242" s="4" t="s">
        <v>9</v>
      </c>
      <c r="D242" s="10" t="s">
        <v>199</v>
      </c>
      <c r="E242" s="4" t="n">
        <f aca="false">INDEX(Cartes!$F$2:$F$301,MATCH($A242,Cartes!$A$2:$A$301,0))</f>
        <v>46</v>
      </c>
      <c r="F242" s="4" t="n">
        <f aca="false">INDEX(Cartes!$G$2:$G$301,MATCH($A242,Cartes!$A$2:$A$301,0))</f>
        <v>10</v>
      </c>
      <c r="G242" s="4" t="n">
        <f aca="false">INDEX(Cartes!$H$2:$H$301,MATCH($A242,Cartes!$A$2:$A$301,0))</f>
        <v>10</v>
      </c>
      <c r="H242" s="6" t="s">
        <v>16</v>
      </c>
    </row>
    <row r="243" customFormat="false" ht="15" hidden="false" customHeight="true" outlineLevel="0" collapsed="false">
      <c r="A243" s="3" t="n">
        <v>7</v>
      </c>
      <c r="B243" s="4" t="s">
        <v>260</v>
      </c>
      <c r="C243" s="4" t="s">
        <v>9</v>
      </c>
      <c r="D243" s="10" t="s">
        <v>199</v>
      </c>
      <c r="E243" s="4" t="n">
        <f aca="false">INDEX(Cartes!$F$2:$F$301,MATCH($A243,Cartes!$A$2:$A$301,0))</f>
        <v>43</v>
      </c>
      <c r="F243" s="4" t="n">
        <f aca="false">INDEX(Cartes!$G$2:$G$301,MATCH($A243,Cartes!$A$2:$A$301,0))</f>
        <v>7</v>
      </c>
      <c r="G243" s="4" t="n">
        <f aca="false">INDEX(Cartes!$H$2:$H$301,MATCH($A243,Cartes!$A$2:$A$301,0))</f>
        <v>15</v>
      </c>
      <c r="H243" s="6" t="s">
        <v>11</v>
      </c>
    </row>
    <row r="244" customFormat="false" ht="15" hidden="false" customHeight="true" outlineLevel="0" collapsed="false">
      <c r="A244" s="3" t="n">
        <v>98</v>
      </c>
      <c r="B244" s="4" t="s">
        <v>261</v>
      </c>
      <c r="C244" s="4" t="s">
        <v>9</v>
      </c>
      <c r="D244" s="10" t="s">
        <v>199</v>
      </c>
      <c r="E244" s="4" t="n">
        <f aca="false">INDEX(Cartes!$F$2:$F$301,MATCH($A244,Cartes!$A$2:$A$301,0))</f>
        <v>38</v>
      </c>
      <c r="F244" s="4" t="n">
        <f aca="false">INDEX(Cartes!$G$2:$G$301,MATCH($A244,Cartes!$A$2:$A$301,0))</f>
        <v>14</v>
      </c>
      <c r="G244" s="4" t="n">
        <f aca="false">INDEX(Cartes!$H$2:$H$301,MATCH($A244,Cartes!$A$2:$A$301,0))</f>
        <v>8</v>
      </c>
      <c r="H244" s="6" t="s">
        <v>16</v>
      </c>
    </row>
    <row r="245" customFormat="false" ht="15" hidden="false" customHeight="true" outlineLevel="0" collapsed="false">
      <c r="A245" s="3" t="n">
        <v>28</v>
      </c>
      <c r="B245" s="4" t="s">
        <v>262</v>
      </c>
      <c r="C245" s="4" t="s">
        <v>9</v>
      </c>
      <c r="D245" s="10" t="s">
        <v>199</v>
      </c>
      <c r="E245" s="4" t="n">
        <f aca="false">INDEX(Cartes!$F$2:$F$301,MATCH($A245,Cartes!$A$2:$A$301,0))</f>
        <v>83</v>
      </c>
      <c r="F245" s="4" t="n">
        <f aca="false">INDEX(Cartes!$G$2:$G$301,MATCH($A245,Cartes!$A$2:$A$301,0))</f>
        <v>8</v>
      </c>
      <c r="G245" s="4" t="n">
        <f aca="false">INDEX(Cartes!$H$2:$H$301,MATCH($A245,Cartes!$A$2:$A$301,0))</f>
        <v>6</v>
      </c>
      <c r="H245" s="6" t="s">
        <v>11</v>
      </c>
    </row>
    <row r="246" customFormat="false" ht="15" hidden="false" customHeight="true" outlineLevel="0" collapsed="false">
      <c r="A246" s="3" t="n">
        <v>43</v>
      </c>
      <c r="B246" s="4" t="s">
        <v>263</v>
      </c>
      <c r="C246" s="4" t="s">
        <v>9</v>
      </c>
      <c r="D246" s="10" t="s">
        <v>199</v>
      </c>
      <c r="E246" s="4" t="n">
        <f aca="false">INDEX(Cartes!$F$2:$F$301,MATCH($A246,Cartes!$A$2:$A$301,0))</f>
        <v>42</v>
      </c>
      <c r="F246" s="4" t="n">
        <f aca="false">INDEX(Cartes!$G$2:$G$301,MATCH($A246,Cartes!$A$2:$A$301,0))</f>
        <v>6</v>
      </c>
      <c r="G246" s="4" t="n">
        <f aca="false">INDEX(Cartes!$H$2:$H$301,MATCH($A246,Cartes!$A$2:$A$301,0))</f>
        <v>15</v>
      </c>
      <c r="H246" s="6" t="s">
        <v>13</v>
      </c>
    </row>
    <row r="247" customFormat="false" ht="15" hidden="false" customHeight="true" outlineLevel="0" collapsed="false">
      <c r="A247" s="3" t="n">
        <v>91</v>
      </c>
      <c r="B247" s="4" t="s">
        <v>264</v>
      </c>
      <c r="C247" s="4" t="s">
        <v>9</v>
      </c>
      <c r="D247" s="10" t="s">
        <v>199</v>
      </c>
      <c r="E247" s="4" t="n">
        <f aca="false">INDEX(Cartes!$F$2:$F$301,MATCH($A247,Cartes!$A$2:$A$301,0))</f>
        <v>50</v>
      </c>
      <c r="F247" s="4" t="n">
        <f aca="false">INDEX(Cartes!$G$2:$G$301,MATCH($A247,Cartes!$A$2:$A$301,0))</f>
        <v>6</v>
      </c>
      <c r="G247" s="4" t="n">
        <f aca="false">INDEX(Cartes!$H$2:$H$301,MATCH($A247,Cartes!$A$2:$A$301,0))</f>
        <v>14</v>
      </c>
      <c r="H247" s="6" t="s">
        <v>16</v>
      </c>
    </row>
    <row r="248" customFormat="false" ht="15" hidden="false" customHeight="true" outlineLevel="0" collapsed="false">
      <c r="A248" s="3" t="n">
        <v>57</v>
      </c>
      <c r="B248" s="4" t="s">
        <v>265</v>
      </c>
      <c r="C248" s="4" t="s">
        <v>9</v>
      </c>
      <c r="D248" s="10" t="s">
        <v>199</v>
      </c>
      <c r="E248" s="4" t="n">
        <f aca="false">INDEX(Cartes!$F$2:$F$301,MATCH($A248,Cartes!$A$2:$A$301,0))</f>
        <v>53</v>
      </c>
      <c r="F248" s="4" t="n">
        <f aca="false">INDEX(Cartes!$G$2:$G$301,MATCH($A248,Cartes!$A$2:$A$301,0))</f>
        <v>10</v>
      </c>
      <c r="G248" s="4" t="n">
        <f aca="false">INDEX(Cartes!$H$2:$H$301,MATCH($A248,Cartes!$A$2:$A$301,0))</f>
        <v>10</v>
      </c>
      <c r="H248" s="6" t="s">
        <v>11</v>
      </c>
    </row>
    <row r="249" customFormat="false" ht="15" hidden="false" customHeight="true" outlineLevel="0" collapsed="false">
      <c r="A249" s="3" t="n">
        <v>54</v>
      </c>
      <c r="B249" s="4" t="s">
        <v>266</v>
      </c>
      <c r="C249" s="4" t="s">
        <v>9</v>
      </c>
      <c r="D249" s="10" t="s">
        <v>199</v>
      </c>
      <c r="E249" s="4" t="n">
        <f aca="false">INDEX(Cartes!$F$2:$F$301,MATCH($A249,Cartes!$A$2:$A$301,0))</f>
        <v>36</v>
      </c>
      <c r="F249" s="4" t="n">
        <f aca="false">INDEX(Cartes!$G$2:$G$301,MATCH($A249,Cartes!$A$2:$A$301,0))</f>
        <v>16</v>
      </c>
      <c r="G249" s="4" t="n">
        <f aca="false">INDEX(Cartes!$H$2:$H$301,MATCH($A249,Cartes!$A$2:$A$301,0))</f>
        <v>7</v>
      </c>
      <c r="H249" s="6" t="s">
        <v>11</v>
      </c>
    </row>
    <row r="250" customFormat="false" ht="15" hidden="false" customHeight="true" outlineLevel="0" collapsed="false">
      <c r="A250" s="3" t="n">
        <v>34</v>
      </c>
      <c r="B250" s="4" t="s">
        <v>267</v>
      </c>
      <c r="C250" s="4" t="s">
        <v>9</v>
      </c>
      <c r="D250" s="10" t="s">
        <v>199</v>
      </c>
      <c r="E250" s="4" t="n">
        <f aca="false">INDEX(Cartes!$F$2:$F$301,MATCH($A250,Cartes!$A$2:$A$301,0))</f>
        <v>42</v>
      </c>
      <c r="F250" s="4" t="n">
        <f aca="false">INDEX(Cartes!$G$2:$G$301,MATCH($A250,Cartes!$A$2:$A$301,0))</f>
        <v>15</v>
      </c>
      <c r="G250" s="4" t="n">
        <f aca="false">INDEX(Cartes!$H$2:$H$301,MATCH($A250,Cartes!$A$2:$A$301,0))</f>
        <v>8</v>
      </c>
      <c r="H250" s="6" t="s">
        <v>13</v>
      </c>
    </row>
    <row r="251" customFormat="false" ht="15" hidden="false" customHeight="true" outlineLevel="0" collapsed="false">
      <c r="A251" s="3" t="n">
        <v>37</v>
      </c>
      <c r="B251" s="4" t="s">
        <v>268</v>
      </c>
      <c r="C251" s="4" t="s">
        <v>9</v>
      </c>
      <c r="D251" s="10" t="s">
        <v>199</v>
      </c>
      <c r="E251" s="4" t="n">
        <f aca="false">INDEX(Cartes!$F$2:$F$301,MATCH($A251,Cartes!$A$2:$A$301,0))</f>
        <v>54</v>
      </c>
      <c r="F251" s="4" t="n">
        <f aca="false">INDEX(Cartes!$G$2:$G$301,MATCH($A251,Cartes!$A$2:$A$301,0))</f>
        <v>10</v>
      </c>
      <c r="G251" s="4" t="n">
        <f aca="false">INDEX(Cartes!$H$2:$H$301,MATCH($A251,Cartes!$A$2:$A$301,0))</f>
        <v>10</v>
      </c>
      <c r="H251" s="6" t="s">
        <v>11</v>
      </c>
    </row>
    <row r="252" customFormat="false" ht="15" hidden="false" customHeight="true" outlineLevel="0" collapsed="false">
      <c r="A252" s="3" t="n">
        <v>36</v>
      </c>
      <c r="B252" s="4" t="s">
        <v>269</v>
      </c>
      <c r="C252" s="4" t="s">
        <v>9</v>
      </c>
      <c r="D252" s="10" t="s">
        <v>199</v>
      </c>
      <c r="E252" s="4" t="n">
        <f aca="false">INDEX(Cartes!$F$2:$F$301,MATCH($A252,Cartes!$A$2:$A$301,0))</f>
        <v>85</v>
      </c>
      <c r="F252" s="4" t="n">
        <f aca="false">INDEX(Cartes!$G$2:$G$301,MATCH($A252,Cartes!$A$2:$A$301,0))</f>
        <v>7</v>
      </c>
      <c r="G252" s="4" t="n">
        <f aca="false">INDEX(Cartes!$H$2:$H$301,MATCH($A252,Cartes!$A$2:$A$301,0))</f>
        <v>6</v>
      </c>
      <c r="H252" s="6" t="s">
        <v>16</v>
      </c>
    </row>
    <row r="253" customFormat="false" ht="15" hidden="false" customHeight="true" outlineLevel="0" collapsed="false">
      <c r="A253" s="3" t="n">
        <v>42</v>
      </c>
      <c r="B253" s="4" t="s">
        <v>270</v>
      </c>
      <c r="C253" s="4" t="s">
        <v>9</v>
      </c>
      <c r="D253" s="10" t="s">
        <v>199</v>
      </c>
      <c r="E253" s="4" t="n">
        <f aca="false">INDEX(Cartes!$F$2:$F$301,MATCH($A253,Cartes!$A$2:$A$301,0))</f>
        <v>41</v>
      </c>
      <c r="F253" s="4" t="n">
        <f aca="false">INDEX(Cartes!$G$2:$G$301,MATCH($A253,Cartes!$A$2:$A$301,0))</f>
        <v>15</v>
      </c>
      <c r="G253" s="4" t="n">
        <f aca="false">INDEX(Cartes!$H$2:$H$301,MATCH($A253,Cartes!$A$2:$A$301,0))</f>
        <v>7</v>
      </c>
      <c r="H253" s="6" t="s">
        <v>11</v>
      </c>
    </row>
    <row r="254" customFormat="false" ht="15" hidden="false" customHeight="true" outlineLevel="0" collapsed="false">
      <c r="A254" s="3" t="n">
        <v>109</v>
      </c>
      <c r="B254" s="4" t="s">
        <v>271</v>
      </c>
      <c r="C254" s="4" t="s">
        <v>9</v>
      </c>
      <c r="D254" s="10" t="s">
        <v>199</v>
      </c>
      <c r="E254" s="4" t="n">
        <f aca="false">INDEX(Cartes!$F$2:$F$301,MATCH($A254,Cartes!$A$2:$A$301,0))</f>
        <v>51</v>
      </c>
      <c r="F254" s="4" t="n">
        <f aca="false">INDEX(Cartes!$G$2:$G$301,MATCH($A254,Cartes!$A$2:$A$301,0))</f>
        <v>10</v>
      </c>
      <c r="G254" s="4" t="n">
        <f aca="false">INDEX(Cartes!$H$2:$H$301,MATCH($A254,Cartes!$A$2:$A$301,0))</f>
        <v>11</v>
      </c>
      <c r="H254" s="6" t="s">
        <v>16</v>
      </c>
    </row>
    <row r="255" customFormat="false" ht="15" hidden="false" customHeight="true" outlineLevel="0" collapsed="false">
      <c r="A255" s="3" t="n">
        <v>68</v>
      </c>
      <c r="B255" s="4" t="s">
        <v>272</v>
      </c>
      <c r="C255" s="4" t="s">
        <v>9</v>
      </c>
      <c r="D255" s="10" t="s">
        <v>199</v>
      </c>
      <c r="E255" s="4" t="n">
        <f aca="false">INDEX(Cartes!$F$2:$F$301,MATCH($A255,Cartes!$A$2:$A$301,0))</f>
        <v>84</v>
      </c>
      <c r="F255" s="4" t="n">
        <f aca="false">INDEX(Cartes!$G$2:$G$301,MATCH($A255,Cartes!$A$2:$A$301,0))</f>
        <v>7</v>
      </c>
      <c r="G255" s="4" t="n">
        <f aca="false">INDEX(Cartes!$H$2:$H$301,MATCH($A255,Cartes!$A$2:$A$301,0))</f>
        <v>6</v>
      </c>
      <c r="H255" s="6" t="s">
        <v>20</v>
      </c>
    </row>
    <row r="256" customFormat="false" ht="15" hidden="false" customHeight="true" outlineLevel="0" collapsed="false">
      <c r="A256" s="3" t="n">
        <v>29</v>
      </c>
      <c r="B256" s="4" t="s">
        <v>273</v>
      </c>
      <c r="C256" s="4" t="s">
        <v>9</v>
      </c>
      <c r="D256" s="10" t="s">
        <v>199</v>
      </c>
      <c r="E256" s="4" t="n">
        <f aca="false">INDEX(Cartes!$F$2:$F$301,MATCH($A256,Cartes!$A$2:$A$301,0))</f>
        <v>49</v>
      </c>
      <c r="F256" s="4" t="n">
        <f aca="false">INDEX(Cartes!$G$2:$G$301,MATCH($A256,Cartes!$A$2:$A$301,0))</f>
        <v>11</v>
      </c>
      <c r="G256" s="4" t="n">
        <f aca="false">INDEX(Cartes!$H$2:$H$301,MATCH($A256,Cartes!$A$2:$A$301,0))</f>
        <v>10</v>
      </c>
      <c r="H256" s="6" t="s">
        <v>13</v>
      </c>
    </row>
    <row r="257" customFormat="false" ht="15" hidden="false" customHeight="true" outlineLevel="0" collapsed="false">
      <c r="A257" s="3" t="n">
        <v>10</v>
      </c>
      <c r="B257" s="4" t="s">
        <v>274</v>
      </c>
      <c r="C257" s="4" t="s">
        <v>9</v>
      </c>
      <c r="D257" s="10" t="s">
        <v>199</v>
      </c>
      <c r="E257" s="4" t="n">
        <f aca="false">INDEX(Cartes!$F$2:$F$301,MATCH($A257,Cartes!$A$2:$A$301,0))</f>
        <v>38</v>
      </c>
      <c r="F257" s="4" t="n">
        <f aca="false">INDEX(Cartes!$G$2:$G$301,MATCH($A257,Cartes!$A$2:$A$301,0))</f>
        <v>14</v>
      </c>
      <c r="G257" s="4" t="n">
        <f aca="false">INDEX(Cartes!$H$2:$H$301,MATCH($A257,Cartes!$A$2:$A$301,0))</f>
        <v>8</v>
      </c>
      <c r="H257" s="6" t="s">
        <v>16</v>
      </c>
    </row>
    <row r="258" customFormat="false" ht="15" hidden="false" customHeight="true" outlineLevel="0" collapsed="false">
      <c r="A258" s="3" t="n">
        <v>100</v>
      </c>
      <c r="B258" s="4" t="s">
        <v>275</v>
      </c>
      <c r="C258" s="4" t="s">
        <v>9</v>
      </c>
      <c r="D258" s="10" t="s">
        <v>199</v>
      </c>
      <c r="E258" s="4" t="n">
        <f aca="false">INDEX(Cartes!$F$2:$F$301,MATCH($A258,Cartes!$A$2:$A$301,0))</f>
        <v>82</v>
      </c>
      <c r="F258" s="4" t="n">
        <f aca="false">INDEX(Cartes!$G$2:$G$301,MATCH($A258,Cartes!$A$2:$A$301,0))</f>
        <v>7</v>
      </c>
      <c r="G258" s="4" t="n">
        <f aca="false">INDEX(Cartes!$H$2:$H$301,MATCH($A258,Cartes!$A$2:$A$301,0))</f>
        <v>6</v>
      </c>
      <c r="H258" s="6" t="s">
        <v>13</v>
      </c>
    </row>
    <row r="259" customFormat="false" ht="15" hidden="false" customHeight="true" outlineLevel="0" collapsed="false">
      <c r="A259" s="3" t="n">
        <v>45</v>
      </c>
      <c r="B259" s="4" t="s">
        <v>276</v>
      </c>
      <c r="C259" s="4" t="s">
        <v>9</v>
      </c>
      <c r="D259" s="10" t="s">
        <v>199</v>
      </c>
      <c r="E259" s="4" t="n">
        <f aca="false">INDEX(Cartes!$F$2:$F$301,MATCH($A259,Cartes!$A$2:$A$301,0))</f>
        <v>49</v>
      </c>
      <c r="F259" s="4" t="n">
        <f aca="false">INDEX(Cartes!$G$2:$G$301,MATCH($A259,Cartes!$A$2:$A$301,0))</f>
        <v>10</v>
      </c>
      <c r="G259" s="4" t="n">
        <f aca="false">INDEX(Cartes!$H$2:$H$301,MATCH($A259,Cartes!$A$2:$A$301,0))</f>
        <v>10</v>
      </c>
      <c r="H259" s="6" t="s">
        <v>20</v>
      </c>
    </row>
    <row r="260" customFormat="false" ht="15" hidden="false" customHeight="true" outlineLevel="0" collapsed="false">
      <c r="A260" s="3" t="n">
        <v>14</v>
      </c>
      <c r="B260" s="4" t="s">
        <v>277</v>
      </c>
      <c r="C260" s="4" t="s">
        <v>9</v>
      </c>
      <c r="D260" s="10" t="s">
        <v>199</v>
      </c>
      <c r="E260" s="4" t="n">
        <f aca="false">INDEX(Cartes!$F$2:$F$301,MATCH($A260,Cartes!$A$2:$A$301,0))</f>
        <v>36</v>
      </c>
      <c r="F260" s="4" t="n">
        <f aca="false">INDEX(Cartes!$G$2:$G$301,MATCH($A260,Cartes!$A$2:$A$301,0))</f>
        <v>15</v>
      </c>
      <c r="G260" s="4" t="n">
        <f aca="false">INDEX(Cartes!$H$2:$H$301,MATCH($A260,Cartes!$A$2:$A$301,0))</f>
        <v>8</v>
      </c>
      <c r="H260" s="6" t="s">
        <v>11</v>
      </c>
    </row>
    <row r="261" customFormat="false" ht="15" hidden="false" customHeight="true" outlineLevel="0" collapsed="false">
      <c r="A261" s="3" t="n">
        <v>90</v>
      </c>
      <c r="B261" s="4" t="s">
        <v>278</v>
      </c>
      <c r="C261" s="4" t="s">
        <v>9</v>
      </c>
      <c r="D261" s="10" t="s">
        <v>199</v>
      </c>
      <c r="E261" s="4" t="n">
        <f aca="false">INDEX(Cartes!$F$2:$F$301,MATCH($A261,Cartes!$A$2:$A$301,0))</f>
        <v>37</v>
      </c>
      <c r="F261" s="4" t="n">
        <f aca="false">INDEX(Cartes!$G$2:$G$301,MATCH($A261,Cartes!$A$2:$A$301,0))</f>
        <v>15</v>
      </c>
      <c r="G261" s="4" t="n">
        <f aca="false">INDEX(Cartes!$H$2:$H$301,MATCH($A261,Cartes!$A$2:$A$301,0))</f>
        <v>7</v>
      </c>
      <c r="H261" s="6" t="s">
        <v>20</v>
      </c>
    </row>
    <row r="262" customFormat="false" ht="15" hidden="false" customHeight="true" outlineLevel="0" collapsed="false">
      <c r="A262" s="3" t="n">
        <v>113</v>
      </c>
      <c r="B262" s="4" t="s">
        <v>279</v>
      </c>
      <c r="C262" s="4" t="s">
        <v>23</v>
      </c>
      <c r="D262" s="10" t="s">
        <v>199</v>
      </c>
      <c r="E262" s="4" t="n">
        <f aca="false">INDEX(Cartes!$F$2:$F$301,MATCH($A262,Cartes!$A$2:$A$301,0))</f>
        <v>55</v>
      </c>
      <c r="F262" s="4" t="n">
        <f aca="false">INDEX(Cartes!$G$2:$G$301,MATCH($A262,Cartes!$A$2:$A$301,0))</f>
        <v>10</v>
      </c>
      <c r="G262" s="4" t="n">
        <f aca="false">INDEX(Cartes!$H$2:$H$301,MATCH($A262,Cartes!$A$2:$A$301,0))</f>
        <v>9</v>
      </c>
      <c r="H262" s="6" t="s">
        <v>13</v>
      </c>
    </row>
    <row r="263" customFormat="false" ht="15" hidden="false" customHeight="true" outlineLevel="0" collapsed="false">
      <c r="A263" s="3" t="n">
        <v>79</v>
      </c>
      <c r="B263" s="4" t="s">
        <v>280</v>
      </c>
      <c r="C263" s="4" t="s">
        <v>23</v>
      </c>
      <c r="D263" s="10" t="s">
        <v>199</v>
      </c>
      <c r="E263" s="4" t="n">
        <f aca="false">INDEX(Cartes!$F$2:$F$301,MATCH($A263,Cartes!$A$2:$A$301,0))</f>
        <v>43</v>
      </c>
      <c r="F263" s="4" t="n">
        <f aca="false">INDEX(Cartes!$G$2:$G$301,MATCH($A263,Cartes!$A$2:$A$301,0))</f>
        <v>6</v>
      </c>
      <c r="G263" s="4" t="n">
        <f aca="false">INDEX(Cartes!$H$2:$H$301,MATCH($A263,Cartes!$A$2:$A$301,0))</f>
        <v>15</v>
      </c>
      <c r="H263" s="6" t="s">
        <v>16</v>
      </c>
    </row>
    <row r="264" customFormat="false" ht="15" hidden="false" customHeight="true" outlineLevel="0" collapsed="false">
      <c r="A264" s="3" t="n">
        <v>41</v>
      </c>
      <c r="B264" s="4" t="s">
        <v>281</v>
      </c>
      <c r="C264" s="4" t="s">
        <v>23</v>
      </c>
      <c r="D264" s="10" t="s">
        <v>199</v>
      </c>
      <c r="E264" s="4" t="n">
        <f aca="false">INDEX(Cartes!$F$2:$F$301,MATCH($A264,Cartes!$A$2:$A$301,0))</f>
        <v>55</v>
      </c>
      <c r="F264" s="4" t="n">
        <f aca="false">INDEX(Cartes!$G$2:$G$301,MATCH($A264,Cartes!$A$2:$A$301,0))</f>
        <v>10</v>
      </c>
      <c r="G264" s="4" t="n">
        <f aca="false">INDEX(Cartes!$H$2:$H$301,MATCH($A264,Cartes!$A$2:$A$301,0))</f>
        <v>10</v>
      </c>
      <c r="H264" s="6" t="s">
        <v>13</v>
      </c>
    </row>
    <row r="265" customFormat="false" ht="15" hidden="false" customHeight="true" outlineLevel="0" collapsed="false">
      <c r="A265" s="3" t="n">
        <v>81</v>
      </c>
      <c r="B265" s="4" t="s">
        <v>282</v>
      </c>
      <c r="C265" s="4" t="s">
        <v>23</v>
      </c>
      <c r="D265" s="10" t="s">
        <v>199</v>
      </c>
      <c r="E265" s="4" t="n">
        <f aca="false">INDEX(Cartes!$F$2:$F$301,MATCH($A265,Cartes!$A$2:$A$301,0))</f>
        <v>49</v>
      </c>
      <c r="F265" s="4" t="n">
        <f aca="false">INDEX(Cartes!$G$2:$G$301,MATCH($A265,Cartes!$A$2:$A$301,0))</f>
        <v>10</v>
      </c>
      <c r="G265" s="4" t="n">
        <f aca="false">INDEX(Cartes!$H$2:$H$301,MATCH($A265,Cartes!$A$2:$A$301,0))</f>
        <v>10</v>
      </c>
      <c r="H265" s="6" t="s">
        <v>11</v>
      </c>
    </row>
    <row r="266" customFormat="false" ht="15" hidden="false" customHeight="true" outlineLevel="0" collapsed="false">
      <c r="A266" s="3" t="n">
        <v>115</v>
      </c>
      <c r="B266" s="4" t="s">
        <v>283</v>
      </c>
      <c r="C266" s="4" t="s">
        <v>23</v>
      </c>
      <c r="D266" s="10" t="s">
        <v>199</v>
      </c>
      <c r="E266" s="4" t="n">
        <f aca="false">INDEX(Cartes!$F$2:$F$301,MATCH($A266,Cartes!$A$2:$A$301,0))</f>
        <v>45</v>
      </c>
      <c r="F266" s="4" t="n">
        <f aca="false">INDEX(Cartes!$G$2:$G$301,MATCH($A266,Cartes!$A$2:$A$301,0))</f>
        <v>7</v>
      </c>
      <c r="G266" s="4" t="n">
        <f aca="false">INDEX(Cartes!$H$2:$H$301,MATCH($A266,Cartes!$A$2:$A$301,0))</f>
        <v>15</v>
      </c>
      <c r="H266" s="6" t="s">
        <v>11</v>
      </c>
    </row>
    <row r="267" customFormat="false" ht="15" hidden="false" customHeight="true" outlineLevel="0" collapsed="false">
      <c r="A267" s="3" t="n">
        <v>30</v>
      </c>
      <c r="B267" s="4" t="s">
        <v>284</v>
      </c>
      <c r="C267" s="4" t="s">
        <v>23</v>
      </c>
      <c r="D267" s="10" t="s">
        <v>199</v>
      </c>
      <c r="E267" s="4" t="n">
        <f aca="false">INDEX(Cartes!$F$2:$F$301,MATCH($A267,Cartes!$A$2:$A$301,0))</f>
        <v>40</v>
      </c>
      <c r="F267" s="4" t="n">
        <f aca="false">INDEX(Cartes!$G$2:$G$301,MATCH($A267,Cartes!$A$2:$A$301,0))</f>
        <v>14</v>
      </c>
      <c r="G267" s="4" t="n">
        <f aca="false">INDEX(Cartes!$H$2:$H$301,MATCH($A267,Cartes!$A$2:$A$301,0))</f>
        <v>7</v>
      </c>
      <c r="H267" s="6" t="s">
        <v>13</v>
      </c>
    </row>
    <row r="268" customFormat="false" ht="15" hidden="false" customHeight="true" outlineLevel="0" collapsed="false">
      <c r="A268" s="3" t="n">
        <v>95</v>
      </c>
      <c r="B268" s="4" t="s">
        <v>285</v>
      </c>
      <c r="C268" s="4" t="s">
        <v>23</v>
      </c>
      <c r="D268" s="10" t="s">
        <v>199</v>
      </c>
      <c r="E268" s="4" t="n">
        <f aca="false">INDEX(Cartes!$F$2:$F$301,MATCH($A268,Cartes!$A$2:$A$301,0))</f>
        <v>47</v>
      </c>
      <c r="F268" s="4" t="n">
        <f aca="false">INDEX(Cartes!$G$2:$G$301,MATCH($A268,Cartes!$A$2:$A$301,0))</f>
        <v>6</v>
      </c>
      <c r="G268" s="4" t="n">
        <f aca="false">INDEX(Cartes!$H$2:$H$301,MATCH($A268,Cartes!$A$2:$A$301,0))</f>
        <v>15</v>
      </c>
      <c r="H268" s="6" t="s">
        <v>13</v>
      </c>
    </row>
    <row r="269" customFormat="false" ht="15" hidden="false" customHeight="true" outlineLevel="0" collapsed="false">
      <c r="A269" s="3" t="n">
        <v>47</v>
      </c>
      <c r="B269" s="4" t="s">
        <v>286</v>
      </c>
      <c r="C269" s="4" t="s">
        <v>23</v>
      </c>
      <c r="D269" s="10" t="s">
        <v>199</v>
      </c>
      <c r="E269" s="4" t="n">
        <f aca="false">INDEX(Cartes!$F$2:$F$301,MATCH($A269,Cartes!$A$2:$A$301,0))</f>
        <v>45</v>
      </c>
      <c r="F269" s="4" t="n">
        <f aca="false">INDEX(Cartes!$G$2:$G$301,MATCH($A269,Cartes!$A$2:$A$301,0))</f>
        <v>6</v>
      </c>
      <c r="G269" s="4" t="n">
        <f aca="false">INDEX(Cartes!$H$2:$H$301,MATCH($A269,Cartes!$A$2:$A$301,0))</f>
        <v>15</v>
      </c>
      <c r="H269" s="6" t="s">
        <v>11</v>
      </c>
    </row>
    <row r="270" customFormat="false" ht="15" hidden="false" customHeight="true" outlineLevel="0" collapsed="false">
      <c r="A270" s="3" t="n">
        <v>53</v>
      </c>
      <c r="B270" s="4" t="s">
        <v>287</v>
      </c>
      <c r="C270" s="4" t="s">
        <v>23</v>
      </c>
      <c r="D270" s="10" t="s">
        <v>199</v>
      </c>
      <c r="E270" s="4" t="n">
        <f aca="false">INDEX(Cartes!$F$2:$F$301,MATCH($A270,Cartes!$A$2:$A$301,0))</f>
        <v>47</v>
      </c>
      <c r="F270" s="4" t="n">
        <f aca="false">INDEX(Cartes!$G$2:$G$301,MATCH($A270,Cartes!$A$2:$A$301,0))</f>
        <v>10</v>
      </c>
      <c r="G270" s="4" t="n">
        <f aca="false">INDEX(Cartes!$H$2:$H$301,MATCH($A270,Cartes!$A$2:$A$301,0))</f>
        <v>9</v>
      </c>
      <c r="H270" s="6" t="s">
        <v>13</v>
      </c>
    </row>
    <row r="271" customFormat="false" ht="15" hidden="false" customHeight="true" outlineLevel="0" collapsed="false">
      <c r="A271" s="3" t="n">
        <v>6</v>
      </c>
      <c r="B271" s="4" t="s">
        <v>288</v>
      </c>
      <c r="C271" s="4" t="s">
        <v>23</v>
      </c>
      <c r="D271" s="10" t="s">
        <v>199</v>
      </c>
      <c r="E271" s="4" t="n">
        <f aca="false">INDEX(Cartes!$F$2:$F$301,MATCH($A271,Cartes!$A$2:$A$301,0))</f>
        <v>34</v>
      </c>
      <c r="F271" s="4" t="n">
        <f aca="false">INDEX(Cartes!$G$2:$G$301,MATCH($A271,Cartes!$A$2:$A$301,0))</f>
        <v>15</v>
      </c>
      <c r="G271" s="4" t="n">
        <f aca="false">INDEX(Cartes!$H$2:$H$301,MATCH($A271,Cartes!$A$2:$A$301,0))</f>
        <v>8</v>
      </c>
      <c r="H271" s="6" t="s">
        <v>20</v>
      </c>
    </row>
    <row r="272" customFormat="false" ht="15" hidden="false" customHeight="true" outlineLevel="0" collapsed="false">
      <c r="A272" s="3" t="n">
        <v>85</v>
      </c>
      <c r="B272" s="4" t="s">
        <v>289</v>
      </c>
      <c r="C272" s="4" t="s">
        <v>23</v>
      </c>
      <c r="D272" s="10" t="s">
        <v>199</v>
      </c>
      <c r="E272" s="4" t="n">
        <f aca="false">INDEX(Cartes!$F$2:$F$301,MATCH($A272,Cartes!$A$2:$A$301,0))</f>
        <v>49</v>
      </c>
      <c r="F272" s="4" t="n">
        <f aca="false">INDEX(Cartes!$G$2:$G$301,MATCH($A272,Cartes!$A$2:$A$301,0))</f>
        <v>10</v>
      </c>
      <c r="G272" s="4" t="n">
        <f aca="false">INDEX(Cartes!$H$2:$H$301,MATCH($A272,Cartes!$A$2:$A$301,0))</f>
        <v>10</v>
      </c>
      <c r="H272" s="6" t="s">
        <v>11</v>
      </c>
    </row>
    <row r="273" customFormat="false" ht="15" hidden="false" customHeight="true" outlineLevel="0" collapsed="false">
      <c r="A273" s="3" t="n">
        <v>97</v>
      </c>
      <c r="B273" s="4" t="s">
        <v>290</v>
      </c>
      <c r="C273" s="4" t="s">
        <v>23</v>
      </c>
      <c r="D273" s="10" t="s">
        <v>199</v>
      </c>
      <c r="E273" s="4" t="n">
        <f aca="false">INDEX(Cartes!$F$2:$F$301,MATCH($A273,Cartes!$A$2:$A$301,0))</f>
        <v>51</v>
      </c>
      <c r="F273" s="4" t="n">
        <f aca="false">INDEX(Cartes!$G$2:$G$301,MATCH($A273,Cartes!$A$2:$A$301,0))</f>
        <v>10</v>
      </c>
      <c r="G273" s="4" t="n">
        <f aca="false">INDEX(Cartes!$H$2:$H$301,MATCH($A273,Cartes!$A$2:$A$301,0))</f>
        <v>9</v>
      </c>
      <c r="H273" s="6" t="s">
        <v>13</v>
      </c>
    </row>
    <row r="274" customFormat="false" ht="15" hidden="false" customHeight="true" outlineLevel="0" collapsed="false">
      <c r="A274" s="3" t="n">
        <v>67</v>
      </c>
      <c r="B274" s="4" t="s">
        <v>291</v>
      </c>
      <c r="C274" s="4" t="s">
        <v>23</v>
      </c>
      <c r="D274" s="10" t="s">
        <v>199</v>
      </c>
      <c r="E274" s="4" t="n">
        <f aca="false">INDEX(Cartes!$F$2:$F$301,MATCH($A274,Cartes!$A$2:$A$301,0))</f>
        <v>45</v>
      </c>
      <c r="F274" s="4" t="n">
        <f aca="false">INDEX(Cartes!$G$2:$G$301,MATCH($A274,Cartes!$A$2:$A$301,0))</f>
        <v>6</v>
      </c>
      <c r="G274" s="4" t="n">
        <f aca="false">INDEX(Cartes!$H$2:$H$301,MATCH($A274,Cartes!$A$2:$A$301,0))</f>
        <v>15</v>
      </c>
      <c r="H274" s="6" t="s">
        <v>13</v>
      </c>
    </row>
    <row r="275" customFormat="false" ht="15" hidden="false" customHeight="true" outlineLevel="0" collapsed="false">
      <c r="A275" s="3" t="n">
        <v>88</v>
      </c>
      <c r="B275" s="4" t="s">
        <v>292</v>
      </c>
      <c r="C275" s="4" t="s">
        <v>23</v>
      </c>
      <c r="D275" s="10" t="s">
        <v>199</v>
      </c>
      <c r="E275" s="4" t="n">
        <f aca="false">INDEX(Cartes!$F$2:$F$301,MATCH($A275,Cartes!$A$2:$A$301,0))</f>
        <v>79</v>
      </c>
      <c r="F275" s="4" t="n">
        <f aca="false">INDEX(Cartes!$G$2:$G$301,MATCH($A275,Cartes!$A$2:$A$301,0))</f>
        <v>8</v>
      </c>
      <c r="G275" s="4" t="n">
        <f aca="false">INDEX(Cartes!$H$2:$H$301,MATCH($A275,Cartes!$A$2:$A$301,0))</f>
        <v>5</v>
      </c>
      <c r="H275" s="6" t="s">
        <v>20</v>
      </c>
    </row>
    <row r="276" customFormat="false" ht="15" hidden="false" customHeight="true" outlineLevel="0" collapsed="false">
      <c r="A276" s="3" t="n">
        <v>72</v>
      </c>
      <c r="B276" s="4" t="s">
        <v>293</v>
      </c>
      <c r="C276" s="4" t="s">
        <v>23</v>
      </c>
      <c r="D276" s="10" t="s">
        <v>199</v>
      </c>
      <c r="E276" s="4" t="n">
        <f aca="false">INDEX(Cartes!$F$2:$F$301,MATCH($A276,Cartes!$A$2:$A$301,0))</f>
        <v>84</v>
      </c>
      <c r="F276" s="4" t="n">
        <f aca="false">INDEX(Cartes!$G$2:$G$301,MATCH($A276,Cartes!$A$2:$A$301,0))</f>
        <v>7</v>
      </c>
      <c r="G276" s="4" t="n">
        <f aca="false">INDEX(Cartes!$H$2:$H$301,MATCH($A276,Cartes!$A$2:$A$301,0))</f>
        <v>6</v>
      </c>
      <c r="H276" s="6" t="s">
        <v>11</v>
      </c>
    </row>
    <row r="277" customFormat="false" ht="15" hidden="false" customHeight="true" outlineLevel="0" collapsed="false">
      <c r="A277" s="3" t="n">
        <v>35</v>
      </c>
      <c r="B277" s="4" t="s">
        <v>294</v>
      </c>
      <c r="C277" s="4" t="s">
        <v>23</v>
      </c>
      <c r="D277" s="10" t="s">
        <v>199</v>
      </c>
      <c r="E277" s="4" t="n">
        <f aca="false">INDEX(Cartes!$F$2:$F$301,MATCH($A277,Cartes!$A$2:$A$301,0))</f>
        <v>45</v>
      </c>
      <c r="F277" s="4" t="n">
        <f aca="false">INDEX(Cartes!$G$2:$G$301,MATCH($A277,Cartes!$A$2:$A$301,0))</f>
        <v>6</v>
      </c>
      <c r="G277" s="4" t="n">
        <f aca="false">INDEX(Cartes!$H$2:$H$301,MATCH($A277,Cartes!$A$2:$A$301,0))</f>
        <v>15</v>
      </c>
      <c r="H277" s="6" t="s">
        <v>16</v>
      </c>
    </row>
    <row r="278" customFormat="false" ht="15" hidden="false" customHeight="true" outlineLevel="0" collapsed="false">
      <c r="A278" s="3" t="n">
        <v>59</v>
      </c>
      <c r="B278" s="4" t="s">
        <v>295</v>
      </c>
      <c r="C278" s="4" t="s">
        <v>23</v>
      </c>
      <c r="D278" s="10" t="s">
        <v>199</v>
      </c>
      <c r="E278" s="4" t="n">
        <f aca="false">INDEX(Cartes!$F$2:$F$301,MATCH($A278,Cartes!$A$2:$A$301,0))</f>
        <v>45</v>
      </c>
      <c r="F278" s="4" t="n">
        <f aca="false">INDEX(Cartes!$G$2:$G$301,MATCH($A278,Cartes!$A$2:$A$301,0))</f>
        <v>6</v>
      </c>
      <c r="G278" s="4" t="n">
        <f aca="false">INDEX(Cartes!$H$2:$H$301,MATCH($A278,Cartes!$A$2:$A$301,0))</f>
        <v>15</v>
      </c>
      <c r="H278" s="6" t="s">
        <v>13</v>
      </c>
    </row>
    <row r="279" customFormat="false" ht="15" hidden="false" customHeight="true" outlineLevel="0" collapsed="false">
      <c r="A279" s="3" t="n">
        <v>83</v>
      </c>
      <c r="B279" s="4" t="s">
        <v>296</v>
      </c>
      <c r="C279" s="4" t="s">
        <v>23</v>
      </c>
      <c r="D279" s="10" t="s">
        <v>199</v>
      </c>
      <c r="E279" s="4" t="n">
        <f aca="false">INDEX(Cartes!$F$2:$F$301,MATCH($A279,Cartes!$A$2:$A$301,0))</f>
        <v>45</v>
      </c>
      <c r="F279" s="4" t="n">
        <f aca="false">INDEX(Cartes!$G$2:$G$301,MATCH($A279,Cartes!$A$2:$A$301,0))</f>
        <v>6</v>
      </c>
      <c r="G279" s="4" t="n">
        <f aca="false">INDEX(Cartes!$H$2:$H$301,MATCH($A279,Cartes!$A$2:$A$301,0))</f>
        <v>14</v>
      </c>
      <c r="H279" s="6" t="s">
        <v>11</v>
      </c>
    </row>
    <row r="280" customFormat="false" ht="15" hidden="false" customHeight="true" outlineLevel="0" collapsed="false">
      <c r="A280" s="3" t="n">
        <v>20</v>
      </c>
      <c r="B280" s="4" t="s">
        <v>297</v>
      </c>
      <c r="C280" s="4" t="s">
        <v>23</v>
      </c>
      <c r="D280" s="10" t="s">
        <v>199</v>
      </c>
      <c r="E280" s="4" t="n">
        <f aca="false">INDEX(Cartes!$F$2:$F$301,MATCH($A280,Cartes!$A$2:$A$301,0))</f>
        <v>85</v>
      </c>
      <c r="F280" s="4" t="n">
        <f aca="false">INDEX(Cartes!$G$2:$G$301,MATCH($A280,Cartes!$A$2:$A$301,0))</f>
        <v>8</v>
      </c>
      <c r="G280" s="4" t="n">
        <f aca="false">INDEX(Cartes!$H$2:$H$301,MATCH($A280,Cartes!$A$2:$A$301,0))</f>
        <v>6</v>
      </c>
      <c r="H280" s="6" t="s">
        <v>11</v>
      </c>
    </row>
    <row r="281" customFormat="false" ht="15" hidden="false" customHeight="true" outlineLevel="0" collapsed="false">
      <c r="A281" s="3" t="n">
        <v>52</v>
      </c>
      <c r="B281" s="4" t="s">
        <v>298</v>
      </c>
      <c r="C281" s="4" t="s">
        <v>23</v>
      </c>
      <c r="D281" s="10" t="s">
        <v>199</v>
      </c>
      <c r="E281" s="4" t="n">
        <f aca="false">INDEX(Cartes!$F$2:$F$301,MATCH($A281,Cartes!$A$2:$A$301,0))</f>
        <v>86</v>
      </c>
      <c r="F281" s="4" t="n">
        <f aca="false">INDEX(Cartes!$G$2:$G$301,MATCH($A281,Cartes!$A$2:$A$301,0))</f>
        <v>7</v>
      </c>
      <c r="G281" s="4" t="n">
        <f aca="false">INDEX(Cartes!$H$2:$H$301,MATCH($A281,Cartes!$A$2:$A$301,0))</f>
        <v>5</v>
      </c>
      <c r="H281" s="6" t="s">
        <v>13</v>
      </c>
    </row>
    <row r="282" customFormat="false" ht="15" hidden="false" customHeight="true" outlineLevel="0" collapsed="false">
      <c r="A282" s="3" t="n">
        <v>117</v>
      </c>
      <c r="B282" s="4" t="s">
        <v>299</v>
      </c>
      <c r="C282" s="4" t="s">
        <v>23</v>
      </c>
      <c r="D282" s="10" t="s">
        <v>199</v>
      </c>
      <c r="E282" s="4" t="n">
        <f aca="false">INDEX(Cartes!$F$2:$F$301,MATCH($A282,Cartes!$A$2:$A$301,0))</f>
        <v>51</v>
      </c>
      <c r="F282" s="4" t="n">
        <f aca="false">INDEX(Cartes!$G$2:$G$301,MATCH($A282,Cartes!$A$2:$A$301,0))</f>
        <v>10</v>
      </c>
      <c r="G282" s="4" t="n">
        <f aca="false">INDEX(Cartes!$H$2:$H$301,MATCH($A282,Cartes!$A$2:$A$301,0))</f>
        <v>10</v>
      </c>
      <c r="H282" s="6" t="s">
        <v>13</v>
      </c>
    </row>
    <row r="283" customFormat="false" ht="15" hidden="false" customHeight="true" outlineLevel="0" collapsed="false">
      <c r="A283" s="3" t="n">
        <v>33</v>
      </c>
      <c r="B283" s="4" t="s">
        <v>300</v>
      </c>
      <c r="C283" s="4" t="s">
        <v>23</v>
      </c>
      <c r="D283" s="10" t="s">
        <v>199</v>
      </c>
      <c r="E283" s="4" t="n">
        <f aca="false">INDEX(Cartes!$F$2:$F$301,MATCH($A283,Cartes!$A$2:$A$301,0))</f>
        <v>49</v>
      </c>
      <c r="F283" s="4" t="n">
        <f aca="false">INDEX(Cartes!$G$2:$G$301,MATCH($A283,Cartes!$A$2:$A$301,0))</f>
        <v>10</v>
      </c>
      <c r="G283" s="4" t="n">
        <f aca="false">INDEX(Cartes!$H$2:$H$301,MATCH($A283,Cartes!$A$2:$A$301,0))</f>
        <v>10</v>
      </c>
      <c r="H283" s="6" t="s">
        <v>11</v>
      </c>
    </row>
    <row r="284" customFormat="false" ht="15" hidden="false" customHeight="true" outlineLevel="0" collapsed="false">
      <c r="A284" s="3" t="n">
        <v>70</v>
      </c>
      <c r="B284" s="4" t="s">
        <v>301</v>
      </c>
      <c r="C284" s="4" t="s">
        <v>23</v>
      </c>
      <c r="D284" s="10" t="s">
        <v>199</v>
      </c>
      <c r="E284" s="4" t="n">
        <f aca="false">INDEX(Cartes!$F$2:$F$301,MATCH($A284,Cartes!$A$2:$A$301,0))</f>
        <v>34</v>
      </c>
      <c r="F284" s="4" t="n">
        <f aca="false">INDEX(Cartes!$G$2:$G$301,MATCH($A284,Cartes!$A$2:$A$301,0))</f>
        <v>15</v>
      </c>
      <c r="G284" s="4" t="n">
        <f aca="false">INDEX(Cartes!$H$2:$H$301,MATCH($A284,Cartes!$A$2:$A$301,0))</f>
        <v>8</v>
      </c>
      <c r="H284" s="6" t="s">
        <v>16</v>
      </c>
    </row>
    <row r="285" customFormat="false" ht="15" hidden="false" customHeight="true" outlineLevel="0" collapsed="false">
      <c r="A285" s="3" t="n">
        <v>71</v>
      </c>
      <c r="B285" s="4" t="s">
        <v>302</v>
      </c>
      <c r="C285" s="4" t="s">
        <v>23</v>
      </c>
      <c r="D285" s="10" t="s">
        <v>199</v>
      </c>
      <c r="E285" s="4" t="n">
        <f aca="false">INDEX(Cartes!$F$2:$F$301,MATCH($A285,Cartes!$A$2:$A$301,0))</f>
        <v>44</v>
      </c>
      <c r="F285" s="4" t="n">
        <f aca="false">INDEX(Cartes!$G$2:$G$301,MATCH($A285,Cartes!$A$2:$A$301,0))</f>
        <v>5</v>
      </c>
      <c r="G285" s="4" t="n">
        <f aca="false">INDEX(Cartes!$H$2:$H$301,MATCH($A285,Cartes!$A$2:$A$301,0))</f>
        <v>15</v>
      </c>
      <c r="H285" s="6" t="s">
        <v>13</v>
      </c>
    </row>
    <row r="286" customFormat="false" ht="15" hidden="false" customHeight="true" outlineLevel="0" collapsed="false">
      <c r="A286" s="3" t="n">
        <v>64</v>
      </c>
      <c r="B286" s="4" t="s">
        <v>303</v>
      </c>
      <c r="C286" s="4" t="s">
        <v>23</v>
      </c>
      <c r="D286" s="10" t="s">
        <v>199</v>
      </c>
      <c r="E286" s="4" t="n">
        <f aca="false">INDEX(Cartes!$F$2:$F$301,MATCH($A286,Cartes!$A$2:$A$301,0))</f>
        <v>80</v>
      </c>
      <c r="F286" s="4" t="n">
        <f aca="false">INDEX(Cartes!$G$2:$G$301,MATCH($A286,Cartes!$A$2:$A$301,0))</f>
        <v>7</v>
      </c>
      <c r="G286" s="4" t="n">
        <f aca="false">INDEX(Cartes!$H$2:$H$301,MATCH($A286,Cartes!$A$2:$A$301,0))</f>
        <v>7</v>
      </c>
      <c r="H286" s="6" t="s">
        <v>13</v>
      </c>
    </row>
    <row r="287" customFormat="false" ht="15" hidden="false" customHeight="true" outlineLevel="0" collapsed="false">
      <c r="A287" s="3" t="n">
        <v>9</v>
      </c>
      <c r="B287" s="4" t="s">
        <v>304</v>
      </c>
      <c r="C287" s="4" t="s">
        <v>23</v>
      </c>
      <c r="D287" s="10" t="s">
        <v>199</v>
      </c>
      <c r="E287" s="4" t="n">
        <f aca="false">INDEX(Cartes!$F$2:$F$301,MATCH($A287,Cartes!$A$2:$A$301,0))</f>
        <v>48</v>
      </c>
      <c r="F287" s="4" t="n">
        <f aca="false">INDEX(Cartes!$G$2:$G$301,MATCH($A287,Cartes!$A$2:$A$301,0))</f>
        <v>10</v>
      </c>
      <c r="G287" s="4" t="n">
        <f aca="false">INDEX(Cartes!$H$2:$H$301,MATCH($A287,Cartes!$A$2:$A$301,0))</f>
        <v>10</v>
      </c>
      <c r="H287" s="6" t="s">
        <v>20</v>
      </c>
    </row>
    <row r="288" customFormat="false" ht="15" hidden="false" customHeight="true" outlineLevel="0" collapsed="false">
      <c r="A288" s="3" t="n">
        <v>102</v>
      </c>
      <c r="B288" s="4" t="s">
        <v>305</v>
      </c>
      <c r="C288" s="4" t="s">
        <v>23</v>
      </c>
      <c r="D288" s="10" t="s">
        <v>199</v>
      </c>
      <c r="E288" s="4" t="n">
        <f aca="false">INDEX(Cartes!$F$2:$F$301,MATCH($A288,Cartes!$A$2:$A$301,0))</f>
        <v>36</v>
      </c>
      <c r="F288" s="4" t="n">
        <f aca="false">INDEX(Cartes!$G$2:$G$301,MATCH($A288,Cartes!$A$2:$A$301,0))</f>
        <v>16</v>
      </c>
      <c r="G288" s="4" t="n">
        <f aca="false">INDEX(Cartes!$H$2:$H$301,MATCH($A288,Cartes!$A$2:$A$301,0))</f>
        <v>7</v>
      </c>
      <c r="H288" s="6" t="s">
        <v>20</v>
      </c>
    </row>
    <row r="289" customFormat="false" ht="15" hidden="false" customHeight="true" outlineLevel="0" collapsed="false">
      <c r="A289" s="3" t="n">
        <v>119</v>
      </c>
      <c r="B289" s="4" t="s">
        <v>306</v>
      </c>
      <c r="C289" s="4" t="s">
        <v>23</v>
      </c>
      <c r="D289" s="10" t="s">
        <v>199</v>
      </c>
      <c r="E289" s="4" t="n">
        <f aca="false">INDEX(Cartes!$F$2:$F$301,MATCH($A289,Cartes!$A$2:$A$301,0))</f>
        <v>44</v>
      </c>
      <c r="F289" s="4" t="n">
        <f aca="false">INDEX(Cartes!$G$2:$G$301,MATCH($A289,Cartes!$A$2:$A$301,0))</f>
        <v>6</v>
      </c>
      <c r="G289" s="4" t="n">
        <f aca="false">INDEX(Cartes!$H$2:$H$301,MATCH($A289,Cartes!$A$2:$A$301,0))</f>
        <v>16</v>
      </c>
      <c r="H289" s="6" t="s">
        <v>13</v>
      </c>
    </row>
    <row r="290" customFormat="false" ht="15" hidden="false" customHeight="true" outlineLevel="0" collapsed="false">
      <c r="A290" s="3" t="n">
        <v>107</v>
      </c>
      <c r="B290" s="4" t="s">
        <v>307</v>
      </c>
      <c r="C290" s="4" t="s">
        <v>23</v>
      </c>
      <c r="D290" s="10" t="s">
        <v>199</v>
      </c>
      <c r="E290" s="4" t="n">
        <f aca="false">INDEX(Cartes!$F$2:$F$301,MATCH($A290,Cartes!$A$2:$A$301,0))</f>
        <v>46</v>
      </c>
      <c r="F290" s="4" t="n">
        <f aca="false">INDEX(Cartes!$G$2:$G$301,MATCH($A290,Cartes!$A$2:$A$301,0))</f>
        <v>5</v>
      </c>
      <c r="G290" s="4" t="n">
        <f aca="false">INDEX(Cartes!$H$2:$H$301,MATCH($A290,Cartes!$A$2:$A$301,0))</f>
        <v>15</v>
      </c>
      <c r="H290" s="6" t="s">
        <v>13</v>
      </c>
    </row>
    <row r="291" customFormat="false" ht="15" hidden="false" customHeight="true" outlineLevel="0" collapsed="false">
      <c r="A291" s="3" t="n">
        <v>103</v>
      </c>
      <c r="B291" s="4" t="s">
        <v>308</v>
      </c>
      <c r="C291" s="4" t="s">
        <v>23</v>
      </c>
      <c r="D291" s="10" t="s">
        <v>199</v>
      </c>
      <c r="E291" s="4" t="n">
        <f aca="false">INDEX(Cartes!$F$2:$F$301,MATCH($A291,Cartes!$A$2:$A$301,0))</f>
        <v>41</v>
      </c>
      <c r="F291" s="4" t="n">
        <f aca="false">INDEX(Cartes!$G$2:$G$301,MATCH($A291,Cartes!$A$2:$A$301,0))</f>
        <v>7</v>
      </c>
      <c r="G291" s="4" t="n">
        <f aca="false">INDEX(Cartes!$H$2:$H$301,MATCH($A291,Cartes!$A$2:$A$301,0))</f>
        <v>15</v>
      </c>
      <c r="H291" s="6" t="s">
        <v>20</v>
      </c>
    </row>
    <row r="292" customFormat="false" ht="15" hidden="false" customHeight="true" outlineLevel="0" collapsed="false">
      <c r="A292" s="3" t="n">
        <v>65</v>
      </c>
      <c r="B292" s="4" t="s">
        <v>309</v>
      </c>
      <c r="C292" s="4" t="s">
        <v>23</v>
      </c>
      <c r="D292" s="10" t="s">
        <v>199</v>
      </c>
      <c r="E292" s="4" t="n">
        <f aca="false">INDEX(Cartes!$F$2:$F$301,MATCH($A292,Cartes!$A$2:$A$301,0))</f>
        <v>50</v>
      </c>
      <c r="F292" s="4" t="n">
        <f aca="false">INDEX(Cartes!$G$2:$G$301,MATCH($A292,Cartes!$A$2:$A$301,0))</f>
        <v>9</v>
      </c>
      <c r="G292" s="4" t="n">
        <f aca="false">INDEX(Cartes!$H$2:$H$301,MATCH($A292,Cartes!$A$2:$A$301,0))</f>
        <v>10</v>
      </c>
      <c r="H292" s="6" t="s">
        <v>16</v>
      </c>
    </row>
    <row r="293" customFormat="false" ht="15" hidden="false" customHeight="true" outlineLevel="0" collapsed="false">
      <c r="A293" s="3" t="n">
        <v>13</v>
      </c>
      <c r="B293" s="4" t="s">
        <v>310</v>
      </c>
      <c r="C293" s="4" t="s">
        <v>23</v>
      </c>
      <c r="D293" s="10" t="s">
        <v>199</v>
      </c>
      <c r="E293" s="4" t="n">
        <f aca="false">INDEX(Cartes!$F$2:$F$301,MATCH($A293,Cartes!$A$2:$A$301,0))</f>
        <v>48</v>
      </c>
      <c r="F293" s="4" t="n">
        <f aca="false">INDEX(Cartes!$G$2:$G$301,MATCH($A293,Cartes!$A$2:$A$301,0))</f>
        <v>10</v>
      </c>
      <c r="G293" s="4" t="n">
        <f aca="false">INDEX(Cartes!$H$2:$H$301,MATCH($A293,Cartes!$A$2:$A$301,0))</f>
        <v>9</v>
      </c>
      <c r="H293" s="6" t="s">
        <v>20</v>
      </c>
    </row>
    <row r="294" customFormat="false" ht="15" hidden="false" customHeight="true" outlineLevel="0" collapsed="false">
      <c r="A294" s="3" t="n">
        <v>21</v>
      </c>
      <c r="B294" s="4" t="s">
        <v>311</v>
      </c>
      <c r="C294" s="4" t="s">
        <v>23</v>
      </c>
      <c r="D294" s="10" t="s">
        <v>199</v>
      </c>
      <c r="E294" s="4" t="n">
        <f aca="false">INDEX(Cartes!$F$2:$F$301,MATCH($A294,Cartes!$A$2:$A$301,0))</f>
        <v>49</v>
      </c>
      <c r="F294" s="4" t="n">
        <f aca="false">INDEX(Cartes!$G$2:$G$301,MATCH($A294,Cartes!$A$2:$A$301,0))</f>
        <v>11</v>
      </c>
      <c r="G294" s="4" t="n">
        <f aca="false">INDEX(Cartes!$H$2:$H$301,MATCH($A294,Cartes!$A$2:$A$301,0))</f>
        <v>10</v>
      </c>
      <c r="H294" s="6" t="s">
        <v>13</v>
      </c>
    </row>
    <row r="295" customFormat="false" ht="15" hidden="false" customHeight="true" outlineLevel="0" collapsed="false">
      <c r="A295" s="3" t="n">
        <v>118</v>
      </c>
      <c r="B295" s="4" t="s">
        <v>312</v>
      </c>
      <c r="C295" s="4" t="s">
        <v>23</v>
      </c>
      <c r="D295" s="10" t="s">
        <v>199</v>
      </c>
      <c r="E295" s="4" t="n">
        <f aca="false">INDEX(Cartes!$F$2:$F$301,MATCH($A295,Cartes!$A$2:$A$301,0))</f>
        <v>34</v>
      </c>
      <c r="F295" s="4" t="n">
        <f aca="false">INDEX(Cartes!$G$2:$G$301,MATCH($A295,Cartes!$A$2:$A$301,0))</f>
        <v>14</v>
      </c>
      <c r="G295" s="4" t="n">
        <f aca="false">INDEX(Cartes!$H$2:$H$301,MATCH($A295,Cartes!$A$2:$A$301,0))</f>
        <v>8</v>
      </c>
      <c r="H295" s="6" t="s">
        <v>13</v>
      </c>
    </row>
    <row r="296" customFormat="false" ht="15" hidden="false" customHeight="true" outlineLevel="0" collapsed="false">
      <c r="A296" s="3" t="n">
        <v>2</v>
      </c>
      <c r="B296" s="4" t="s">
        <v>313</v>
      </c>
      <c r="C296" s="4" t="s">
        <v>23</v>
      </c>
      <c r="D296" s="10" t="s">
        <v>199</v>
      </c>
      <c r="E296" s="4" t="n">
        <f aca="false">INDEX(Cartes!$F$2:$F$301,MATCH($A296,Cartes!$A$2:$A$301,0))</f>
        <v>39</v>
      </c>
      <c r="F296" s="4" t="n">
        <f aca="false">INDEX(Cartes!$G$2:$G$301,MATCH($A296,Cartes!$A$2:$A$301,0))</f>
        <v>14</v>
      </c>
      <c r="G296" s="4" t="n">
        <f aca="false">INDEX(Cartes!$H$2:$H$301,MATCH($A296,Cartes!$A$2:$A$301,0))</f>
        <v>8</v>
      </c>
      <c r="H296" s="6" t="s">
        <v>13</v>
      </c>
    </row>
    <row r="297" customFormat="false" ht="15" hidden="false" customHeight="true" outlineLevel="0" collapsed="false">
      <c r="A297" s="3" t="n">
        <v>89</v>
      </c>
      <c r="B297" s="4" t="s">
        <v>314</v>
      </c>
      <c r="C297" s="4" t="s">
        <v>23</v>
      </c>
      <c r="D297" s="10" t="s">
        <v>199</v>
      </c>
      <c r="E297" s="4" t="n">
        <f aca="false">INDEX(Cartes!$F$2:$F$301,MATCH($A297,Cartes!$A$2:$A$301,0))</f>
        <v>55</v>
      </c>
      <c r="F297" s="4" t="n">
        <f aca="false">INDEX(Cartes!$G$2:$G$301,MATCH($A297,Cartes!$A$2:$A$301,0))</f>
        <v>10</v>
      </c>
      <c r="G297" s="4" t="n">
        <f aca="false">INDEX(Cartes!$H$2:$H$301,MATCH($A297,Cartes!$A$2:$A$301,0))</f>
        <v>10</v>
      </c>
      <c r="H297" s="6" t="s">
        <v>20</v>
      </c>
    </row>
    <row r="298" customFormat="false" ht="15" hidden="false" customHeight="true" outlineLevel="0" collapsed="false">
      <c r="A298" s="3" t="n">
        <v>40</v>
      </c>
      <c r="B298" s="4" t="s">
        <v>315</v>
      </c>
      <c r="C298" s="4" t="s">
        <v>23</v>
      </c>
      <c r="D298" s="10" t="s">
        <v>199</v>
      </c>
      <c r="E298" s="4" t="n">
        <f aca="false">INDEX(Cartes!$F$2:$F$301,MATCH($A298,Cartes!$A$2:$A$301,0))</f>
        <v>82</v>
      </c>
      <c r="F298" s="4" t="n">
        <f aca="false">INDEX(Cartes!$G$2:$G$301,MATCH($A298,Cartes!$A$2:$A$301,0))</f>
        <v>7</v>
      </c>
      <c r="G298" s="4" t="n">
        <f aca="false">INDEX(Cartes!$H$2:$H$301,MATCH($A298,Cartes!$A$2:$A$301,0))</f>
        <v>6</v>
      </c>
      <c r="H298" s="6" t="s">
        <v>20</v>
      </c>
    </row>
    <row r="299" customFormat="false" ht="15" hidden="false" customHeight="true" outlineLevel="0" collapsed="false">
      <c r="A299" s="3" t="n">
        <v>62</v>
      </c>
      <c r="B299" s="4" t="s">
        <v>316</v>
      </c>
      <c r="C299" s="4" t="s">
        <v>23</v>
      </c>
      <c r="D299" s="10" t="s">
        <v>199</v>
      </c>
      <c r="E299" s="4" t="n">
        <f aca="false">INDEX(Cartes!$F$2:$F$301,MATCH($A299,Cartes!$A$2:$A$301,0))</f>
        <v>40</v>
      </c>
      <c r="F299" s="4" t="n">
        <f aca="false">INDEX(Cartes!$G$2:$G$301,MATCH($A299,Cartes!$A$2:$A$301,0))</f>
        <v>15</v>
      </c>
      <c r="G299" s="4" t="n">
        <f aca="false">INDEX(Cartes!$H$2:$H$301,MATCH($A299,Cartes!$A$2:$A$301,0))</f>
        <v>7</v>
      </c>
      <c r="H299" s="6" t="s">
        <v>13</v>
      </c>
    </row>
    <row r="300" customFormat="false" ht="15" hidden="false" customHeight="true" outlineLevel="0" collapsed="false">
      <c r="A300" s="3" t="n">
        <v>92</v>
      </c>
      <c r="B300" s="4" t="s">
        <v>317</v>
      </c>
      <c r="C300" s="4" t="s">
        <v>23</v>
      </c>
      <c r="D300" s="10" t="s">
        <v>199</v>
      </c>
      <c r="E300" s="4" t="n">
        <f aca="false">INDEX(Cartes!$F$2:$F$301,MATCH($A300,Cartes!$A$2:$A$301,0))</f>
        <v>89</v>
      </c>
      <c r="F300" s="4" t="n">
        <f aca="false">INDEX(Cartes!$G$2:$G$301,MATCH($A300,Cartes!$A$2:$A$301,0))</f>
        <v>7</v>
      </c>
      <c r="G300" s="4" t="n">
        <f aca="false">INDEX(Cartes!$H$2:$H$301,MATCH($A300,Cartes!$A$2:$A$301,0))</f>
        <v>6</v>
      </c>
      <c r="H300" s="6" t="s">
        <v>13</v>
      </c>
    </row>
    <row r="301" customFormat="false" ht="15" hidden="false" customHeight="true" outlineLevel="0" collapsed="false">
      <c r="A301" s="3" t="n">
        <v>86</v>
      </c>
      <c r="B301" s="4" t="s">
        <v>318</v>
      </c>
      <c r="C301" s="4" t="s">
        <v>23</v>
      </c>
      <c r="D301" s="10" t="s">
        <v>199</v>
      </c>
      <c r="E301" s="4" t="n">
        <f aca="false">INDEX(Cartes!$F$2:$F$301,MATCH($A301,Cartes!$A$2:$A$301,0))</f>
        <v>42</v>
      </c>
      <c r="F301" s="4" t="n">
        <f aca="false">INDEX(Cartes!$G$2:$G$301,MATCH($A301,Cartes!$A$2:$A$301,0))</f>
        <v>15</v>
      </c>
      <c r="G301" s="4" t="n">
        <f aca="false">INDEX(Cartes!$H$2:$H$301,MATCH($A301,Cartes!$A$2:$A$301,0))</f>
        <v>7</v>
      </c>
      <c r="H301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11" t="s">
        <v>319</v>
      </c>
    </row>
    <row r="2" customFormat="false" ht="15" hidden="false" customHeight="true" outlineLevel="0" collapsed="false">
      <c r="A2" s="12" t="s">
        <v>320</v>
      </c>
    </row>
    <row r="4" customFormat="false" ht="15" hidden="false" customHeight="true" outlineLevel="0" collapsed="false">
      <c r="A4" s="13" t="s">
        <v>3</v>
      </c>
      <c r="B4" s="13" t="s">
        <v>321</v>
      </c>
      <c r="C4" s="13" t="s">
        <v>322</v>
      </c>
      <c r="D4" s="13" t="s">
        <v>323</v>
      </c>
    </row>
    <row r="5" customFormat="false" ht="15" hidden="false" customHeight="true" outlineLevel="0" collapsed="false">
      <c r="A5" s="14" t="s">
        <v>199</v>
      </c>
      <c r="B5" s="6" t="n">
        <f aca="false">COUNTIF(Cartes!$D:$D,A5)</f>
        <v>120</v>
      </c>
      <c r="C5" s="15" t="n">
        <v>30</v>
      </c>
      <c r="D5" s="16" t="n">
        <v>0.6</v>
      </c>
    </row>
    <row r="6" customFormat="false" ht="15" hidden="false" customHeight="true" outlineLevel="0" collapsed="false">
      <c r="A6" s="17" t="s">
        <v>108</v>
      </c>
      <c r="B6" s="6" t="n">
        <f aca="false">COUNTIF(Cartes!$D:$D,A6)</f>
        <v>90</v>
      </c>
      <c r="C6" s="15" t="n">
        <v>37</v>
      </c>
      <c r="D6" s="16" t="n">
        <v>0.25</v>
      </c>
    </row>
    <row r="7" customFormat="false" ht="15" hidden="false" customHeight="true" outlineLevel="0" collapsed="false">
      <c r="A7" s="18" t="s">
        <v>57</v>
      </c>
      <c r="B7" s="6" t="n">
        <f aca="false">COUNTIF(Cartes!$D:$D,A7)</f>
        <v>50</v>
      </c>
      <c r="C7" s="15" t="n">
        <v>45</v>
      </c>
      <c r="D7" s="16" t="n">
        <v>0.1</v>
      </c>
    </row>
    <row r="8" customFormat="false" ht="15" hidden="false" customHeight="true" outlineLevel="0" collapsed="false">
      <c r="A8" s="19" t="s">
        <v>28</v>
      </c>
      <c r="B8" s="6" t="n">
        <f aca="false">COUNTIF(Cartes!$D:$D,A8)</f>
        <v>28</v>
      </c>
      <c r="C8" s="15" t="n">
        <v>55</v>
      </c>
      <c r="D8" s="16" t="n">
        <v>0.04</v>
      </c>
    </row>
    <row r="9" customFormat="false" ht="15" hidden="false" customHeight="true" outlineLevel="0" collapsed="false">
      <c r="A9" s="20" t="s">
        <v>10</v>
      </c>
      <c r="B9" s="6" t="n">
        <f aca="false">COUNTIF(Cartes!$D:$D,A9)</f>
        <v>12</v>
      </c>
      <c r="C9" s="15" t="n">
        <v>68</v>
      </c>
      <c r="D9" s="16" t="n">
        <v>0.01</v>
      </c>
    </row>
    <row r="10" customFormat="false" ht="15" hidden="false" customHeight="true" outlineLevel="0" collapsed="false">
      <c r="A10" s="21" t="s">
        <v>324</v>
      </c>
      <c r="B10" s="21" t="n">
        <f aca="false">SUM(B5:B9)</f>
        <v>300</v>
      </c>
    </row>
    <row r="12" customFormat="false" ht="15" hidden="false" customHeight="true" outlineLevel="0" collapsed="false">
      <c r="A12" s="21" t="s">
        <v>325</v>
      </c>
      <c r="C12" s="15" t="n">
        <v>5</v>
      </c>
    </row>
    <row r="13" customFormat="false" ht="15" hidden="false" customHeight="true" outlineLevel="0" collapsed="false">
      <c r="A13" s="21" t="s">
        <v>326</v>
      </c>
      <c r="C13" s="16" t="n">
        <v>0.03</v>
      </c>
    </row>
    <row r="15" customFormat="false" ht="15" hidden="false" customHeight="true" outlineLevel="0" collapsed="false">
      <c r="A15" s="22" t="s">
        <v>327</v>
      </c>
    </row>
    <row r="16" customFormat="false" ht="15" hidden="false" customHeight="true" outlineLevel="0" collapsed="false">
      <c r="A16" s="6" t="s">
        <v>328</v>
      </c>
    </row>
    <row r="17" customFormat="false" ht="15" hidden="false" customHeight="true" outlineLevel="0" collapsed="false">
      <c r="A17" s="6" t="s">
        <v>329</v>
      </c>
    </row>
    <row r="18" customFormat="false" ht="15" hidden="false" customHeight="true" outlineLevel="0" collapsed="false">
      <c r="A18" s="6" t="s">
        <v>330</v>
      </c>
    </row>
    <row r="19" customFormat="false" ht="15" hidden="false" customHeight="true" outlineLevel="0" collapsed="false">
      <c r="A19" s="6" t="s">
        <v>331</v>
      </c>
    </row>
    <row r="20" customFormat="false" ht="15" hidden="false" customHeight="true" outlineLevel="0" collapsed="false">
      <c r="A20" s="6" t="s">
        <v>332</v>
      </c>
    </row>
    <row r="22" customFormat="false" ht="15" hidden="false" customHeight="true" outlineLevel="0" collapsed="false">
      <c r="A22" s="22" t="s">
        <v>333</v>
      </c>
    </row>
    <row r="23" customFormat="false" ht="15" hidden="false" customHeight="true" outlineLevel="0" collapsed="false">
      <c r="A23" s="13" t="s">
        <v>334</v>
      </c>
      <c r="B23" s="13" t="s">
        <v>335</v>
      </c>
      <c r="C23" s="13" t="s">
        <v>336</v>
      </c>
      <c r="D23" s="13" t="s">
        <v>337</v>
      </c>
    </row>
    <row r="24" customFormat="false" ht="15" hidden="false" customHeight="true" outlineLevel="0" collapsed="false">
      <c r="A24" s="21" t="s">
        <v>338</v>
      </c>
      <c r="B24" s="23" t="n">
        <v>0.34</v>
      </c>
      <c r="C24" s="23" t="n">
        <v>0.33</v>
      </c>
      <c r="D24" s="23" t="n">
        <v>0.33</v>
      </c>
    </row>
    <row r="25" customFormat="false" ht="15" hidden="false" customHeight="true" outlineLevel="0" collapsed="false">
      <c r="A25" s="21" t="s">
        <v>339</v>
      </c>
      <c r="B25" s="23" t="n">
        <v>0.25</v>
      </c>
      <c r="C25" s="23" t="n">
        <v>0.5</v>
      </c>
      <c r="D25" s="23" t="n">
        <v>0.25</v>
      </c>
    </row>
    <row r="26" customFormat="false" ht="15" hidden="false" customHeight="true" outlineLevel="0" collapsed="false">
      <c r="A26" s="21" t="s">
        <v>340</v>
      </c>
      <c r="B26" s="23" t="n">
        <v>0.3</v>
      </c>
      <c r="C26" s="23" t="n">
        <v>0.2</v>
      </c>
      <c r="D26" s="23" t="n">
        <v>0.5</v>
      </c>
    </row>
    <row r="27" customFormat="false" ht="15" hidden="false" customHeight="true" outlineLevel="0" collapsed="false">
      <c r="A27" s="21" t="s">
        <v>341</v>
      </c>
      <c r="B27" s="23" t="n">
        <v>0.55</v>
      </c>
      <c r="C27" s="23" t="n">
        <v>0.25</v>
      </c>
      <c r="D27" s="23" t="n">
        <v>0.2</v>
      </c>
    </row>
    <row r="28" customFormat="false" ht="15" hidden="false" customHeight="true" outlineLevel="0" collapsed="false">
      <c r="A28" s="24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1" min="2" style="1" width="13"/>
  </cols>
  <sheetData>
    <row r="1" customFormat="false" ht="17.25" hidden="false" customHeight="true" outlineLevel="0" collapsed="false">
      <c r="A1" s="11" t="s">
        <v>343</v>
      </c>
    </row>
    <row r="3" customFormat="false" ht="31.5" hidden="false" customHeight="true" outlineLevel="0" collapsed="false">
      <c r="A3" s="25" t="s">
        <v>3</v>
      </c>
      <c r="B3" s="25" t="s">
        <v>344</v>
      </c>
      <c r="C3" s="25" t="s">
        <v>345</v>
      </c>
      <c r="D3" s="25" t="s">
        <v>23</v>
      </c>
      <c r="E3" s="25" t="s">
        <v>346</v>
      </c>
      <c r="F3" s="25" t="s">
        <v>347</v>
      </c>
      <c r="G3" s="25" t="s">
        <v>348</v>
      </c>
      <c r="H3" s="25" t="s">
        <v>349</v>
      </c>
      <c r="I3" s="25" t="s">
        <v>350</v>
      </c>
      <c r="J3" s="25" t="s">
        <v>351</v>
      </c>
      <c r="K3" s="25" t="s">
        <v>352</v>
      </c>
    </row>
    <row r="4" customFormat="false" ht="15" hidden="false" customHeight="true" outlineLevel="0" collapsed="false">
      <c r="A4" s="14" t="s">
        <v>199</v>
      </c>
      <c r="B4" s="26" t="n">
        <f aca="false">COUNTIF(Cartes!$D$2:$D$301,A4)</f>
        <v>120</v>
      </c>
      <c r="C4" s="26" t="n">
        <f aca="false">COUNTIFS(Cartes!$D$2:$D$301,A4,Cartes!$C$2:$C$301,"Créature")</f>
        <v>80</v>
      </c>
      <c r="D4" s="26" t="n">
        <f aca="false">COUNTIFS(Cartes!$D$2:$D$301,A4,Cartes!$C$2:$C$301,"Héros")</f>
        <v>40</v>
      </c>
      <c r="E4" s="27" t="n">
        <f aca="false">AVERAGEIF(Cartes!$D$2:$D$301,A4,Cartes!$F$2:$F$301)</f>
        <v>53.6833333333333</v>
      </c>
      <c r="F4" s="27" t="n">
        <f aca="false">AVERAGEIF(Cartes!$D$2:$D$301,A4,Cartes!$G$2:$G$301)</f>
        <v>9.65833333333333</v>
      </c>
      <c r="G4" s="27" t="n">
        <f aca="false">AVERAGEIF(Cartes!$D$2:$D$301,A4,Cartes!$H$2:$H$301)</f>
        <v>9.60833333333333</v>
      </c>
      <c r="H4" s="27" t="n">
        <f aca="false">_xlfn.MINIFS(Cartes!$I$2:$I$301,Cartes!$D$2:$D$301,A4)</f>
        <v>28.4</v>
      </c>
      <c r="I4" s="27" t="n">
        <f aca="false">AVERAGEIF(Cartes!$D$2:$D$301,A4,Cartes!$I$2:$I$301)</f>
        <v>30.0033333333333</v>
      </c>
      <c r="J4" s="27" t="n">
        <f aca="false">_xlfn.MAXIFS(Cartes!$I$2:$I$301,Cartes!$D$2:$D$301,A4)</f>
        <v>31.4</v>
      </c>
      <c r="K4" s="27" t="s">
        <v>353</v>
      </c>
    </row>
    <row r="5" customFormat="false" ht="15" hidden="false" customHeight="true" outlineLevel="0" collapsed="false">
      <c r="A5" s="17" t="s">
        <v>108</v>
      </c>
      <c r="B5" s="26" t="n">
        <f aca="false">COUNTIF(Cartes!$D$2:$D$301,A5)</f>
        <v>90</v>
      </c>
      <c r="C5" s="26" t="n">
        <f aca="false">COUNTIFS(Cartes!$D$2:$D$301,A5,Cartes!$C$2:$C$301,"Créature")</f>
        <v>60</v>
      </c>
      <c r="D5" s="26" t="n">
        <f aca="false">COUNTIFS(Cartes!$D$2:$D$301,A5,Cartes!$C$2:$C$301,"Héros")</f>
        <v>30</v>
      </c>
      <c r="E5" s="27" t="n">
        <f aca="false">AVERAGEIF(Cartes!$D$2:$D$301,A5,Cartes!$F$2:$F$301)</f>
        <v>66.1444444444445</v>
      </c>
      <c r="F5" s="27" t="n">
        <f aca="false">AVERAGEIF(Cartes!$D$2:$D$301,A5,Cartes!$G$2:$G$301)</f>
        <v>11.7555555555556</v>
      </c>
      <c r="G5" s="27" t="n">
        <f aca="false">AVERAGEIF(Cartes!$D$2:$D$301,A5,Cartes!$H$2:$H$301)</f>
        <v>11.9222222222222</v>
      </c>
      <c r="H5" s="27" t="n">
        <f aca="false">_xlfn.MINIFS(Cartes!$I$2:$I$301,Cartes!$D$2:$D$301,A5)</f>
        <v>35.4</v>
      </c>
      <c r="I5" s="27" t="n">
        <f aca="false">AVERAGEIF(Cartes!$D$2:$D$301,A5,Cartes!$I$2:$I$301)</f>
        <v>36.9066666666667</v>
      </c>
      <c r="J5" s="27" t="n">
        <f aca="false">_xlfn.MAXIFS(Cartes!$I$2:$I$301,Cartes!$D$2:$D$301,A5)</f>
        <v>38.6</v>
      </c>
      <c r="K5" s="27" t="n">
        <f aca="false">H5-J4</f>
        <v>4</v>
      </c>
    </row>
    <row r="6" customFormat="false" ht="15" hidden="false" customHeight="true" outlineLevel="0" collapsed="false">
      <c r="A6" s="18" t="s">
        <v>57</v>
      </c>
      <c r="B6" s="26" t="n">
        <f aca="false">COUNTIF(Cartes!$D$2:$D$301,A6)</f>
        <v>50</v>
      </c>
      <c r="C6" s="26" t="n">
        <f aca="false">COUNTIFS(Cartes!$D$2:$D$301,A6,Cartes!$C$2:$C$301,"Créature")</f>
        <v>34</v>
      </c>
      <c r="D6" s="26" t="n">
        <f aca="false">COUNTIFS(Cartes!$D$2:$D$301,A6,Cartes!$C$2:$C$301,"Héros")</f>
        <v>16</v>
      </c>
      <c r="E6" s="27" t="n">
        <f aca="false">AVERAGEIF(Cartes!$D$2:$D$301,A6,Cartes!$F$2:$F$301)</f>
        <v>80.42</v>
      </c>
      <c r="F6" s="27" t="n">
        <f aca="false">AVERAGEIF(Cartes!$D$2:$D$301,A6,Cartes!$G$2:$G$301)</f>
        <v>14.5</v>
      </c>
      <c r="G6" s="27" t="n">
        <f aca="false">AVERAGEIF(Cartes!$D$2:$D$301,A6,Cartes!$H$2:$H$301)</f>
        <v>14.34</v>
      </c>
      <c r="H6" s="27" t="n">
        <f aca="false">_xlfn.MINIFS(Cartes!$I$2:$I$301,Cartes!$D$2:$D$301,A6)</f>
        <v>43.2</v>
      </c>
      <c r="I6" s="27" t="n">
        <f aca="false">AVERAGEIF(Cartes!$D$2:$D$301,A6,Cartes!$I$2:$I$301)</f>
        <v>44.924</v>
      </c>
      <c r="J6" s="27" t="n">
        <f aca="false">_xlfn.MAXIFS(Cartes!$I$2:$I$301,Cartes!$D$2:$D$301,A6)</f>
        <v>46.8</v>
      </c>
      <c r="K6" s="27" t="n">
        <f aca="false">H6-J5</f>
        <v>4.6</v>
      </c>
    </row>
    <row r="7" customFormat="false" ht="15" hidden="false" customHeight="true" outlineLevel="0" collapsed="false">
      <c r="A7" s="19" t="s">
        <v>28</v>
      </c>
      <c r="B7" s="26" t="n">
        <f aca="false">COUNTIF(Cartes!$D$2:$D$301,A7)</f>
        <v>28</v>
      </c>
      <c r="C7" s="26" t="n">
        <f aca="false">COUNTIFS(Cartes!$D$2:$D$301,A7,Cartes!$C$2:$C$301,"Créature")</f>
        <v>18</v>
      </c>
      <c r="D7" s="26" t="n">
        <f aca="false">COUNTIFS(Cartes!$D$2:$D$301,A7,Cartes!$C$2:$C$301,"Héros")</f>
        <v>10</v>
      </c>
      <c r="E7" s="27" t="n">
        <f aca="false">AVERAGEIF(Cartes!$D$2:$D$301,A7,Cartes!$F$2:$F$301)</f>
        <v>98.8214285714286</v>
      </c>
      <c r="F7" s="27" t="n">
        <f aca="false">AVERAGEIF(Cartes!$D$2:$D$301,A7,Cartes!$G$2:$G$301)</f>
        <v>17.5357142857143</v>
      </c>
      <c r="G7" s="27" t="n">
        <f aca="false">AVERAGEIF(Cartes!$D$2:$D$301,A7,Cartes!$H$2:$H$301)</f>
        <v>17.5357142857143</v>
      </c>
      <c r="H7" s="27" t="n">
        <f aca="false">_xlfn.MINIFS(Cartes!$I$2:$I$301,Cartes!$D$2:$D$301,A7)</f>
        <v>53.8</v>
      </c>
      <c r="I7" s="27" t="n">
        <f aca="false">AVERAGEIF(Cartes!$D$2:$D$301,A7,Cartes!$I$2:$I$301)</f>
        <v>54.8357142857143</v>
      </c>
      <c r="J7" s="27" t="n">
        <f aca="false">_xlfn.MAXIFS(Cartes!$I$2:$I$301,Cartes!$D$2:$D$301,A7)</f>
        <v>56.4</v>
      </c>
      <c r="K7" s="27" t="n">
        <f aca="false">H7-J6</f>
        <v>7</v>
      </c>
    </row>
    <row r="8" customFormat="false" ht="15" hidden="false" customHeight="true" outlineLevel="0" collapsed="false">
      <c r="A8" s="20" t="s">
        <v>10</v>
      </c>
      <c r="B8" s="26" t="n">
        <f aca="false">COUNTIF(Cartes!$D$2:$D$301,A8)</f>
        <v>12</v>
      </c>
      <c r="C8" s="26" t="n">
        <f aca="false">COUNTIFS(Cartes!$D$2:$D$301,A8,Cartes!$C$2:$C$301,"Créature")</f>
        <v>8</v>
      </c>
      <c r="D8" s="26" t="n">
        <f aca="false">COUNTIFS(Cartes!$D$2:$D$301,A8,Cartes!$C$2:$C$301,"Héros")</f>
        <v>4</v>
      </c>
      <c r="E8" s="27" t="n">
        <f aca="false">AVERAGEIF(Cartes!$D$2:$D$301,A8,Cartes!$F$2:$F$301)</f>
        <v>122.916666666667</v>
      </c>
      <c r="F8" s="27" t="n">
        <f aca="false">AVERAGEIF(Cartes!$D$2:$D$301,A8,Cartes!$G$2:$G$301)</f>
        <v>22.3333333333333</v>
      </c>
      <c r="G8" s="27" t="n">
        <f aca="false">AVERAGEIF(Cartes!$D$2:$D$301,A8,Cartes!$H$2:$H$301)</f>
        <v>21.8333333333333</v>
      </c>
      <c r="H8" s="27" t="n">
        <f aca="false">_xlfn.MINIFS(Cartes!$I$2:$I$301,Cartes!$D$2:$D$301,A8)</f>
        <v>67</v>
      </c>
      <c r="I8" s="27" t="n">
        <f aca="false">AVERAGEIF(Cartes!$D$2:$D$301,A8,Cartes!$I$2:$I$301)</f>
        <v>68.75</v>
      </c>
      <c r="J8" s="27" t="n">
        <f aca="false">_xlfn.MAXIFS(Cartes!$I$2:$I$301,Cartes!$D$2:$D$301,A8)</f>
        <v>70.4</v>
      </c>
      <c r="K8" s="27" t="n">
        <f aca="false">H8-J7</f>
        <v>10.6</v>
      </c>
    </row>
    <row r="10" customFormat="false" ht="15" hidden="false" customHeight="true" outlineLevel="0" collapsed="false">
      <c r="A10" s="21" t="s">
        <v>324</v>
      </c>
      <c r="B10" s="21" t="n">
        <f aca="false">SUM(B4:B8)</f>
        <v>300</v>
      </c>
      <c r="C10" s="21" t="n">
        <f aca="false">SUM(C4:C8)</f>
        <v>200</v>
      </c>
      <c r="D10" s="21" t="n">
        <f aca="false">SUM(D4:D8)</f>
        <v>100</v>
      </c>
    </row>
    <row r="12" customFormat="false" ht="15" hidden="false" customHeight="true" outlineLevel="0" collapsed="false">
      <c r="A12" s="24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8" min="6" style="1" width="7"/>
    <col collapsed="false" customWidth="true" hidden="false" outlineLevel="0" max="9" min="9" style="1" width="11"/>
    <col collapsed="false" customWidth="true" hidden="false" outlineLevel="0" max="12" min="10" style="1" width="9"/>
    <col collapsed="false" customWidth="true" hidden="false" outlineLevel="0" max="13" min="13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334</v>
      </c>
      <c r="F1" s="2" t="s">
        <v>4</v>
      </c>
      <c r="G1" s="2" t="s">
        <v>5</v>
      </c>
      <c r="H1" s="2" t="s">
        <v>6</v>
      </c>
      <c r="I1" s="2" t="s">
        <v>355</v>
      </c>
      <c r="J1" s="2" t="s">
        <v>335</v>
      </c>
      <c r="K1" s="2" t="s">
        <v>336</v>
      </c>
      <c r="L1" s="2" t="s">
        <v>337</v>
      </c>
      <c r="M1" s="2" t="s">
        <v>356</v>
      </c>
    </row>
    <row r="2" customFormat="false" ht="15" hidden="false" customHeight="true" outlineLevel="0" collapsed="false">
      <c r="A2" s="3" t="n">
        <v>1</v>
      </c>
      <c r="B2" s="4" t="s">
        <v>214</v>
      </c>
      <c r="C2" s="4" t="s">
        <v>9</v>
      </c>
      <c r="D2" s="10" t="s">
        <v>199</v>
      </c>
      <c r="E2" s="4" t="s">
        <v>338</v>
      </c>
      <c r="F2" s="4" t="n">
        <f aca="false">ROUND(INDEX(Règles!$C$5:$C$9,MATCH($D2,Règles!$A$5:$A$9,0))*$M2*$J2*Règles!$C$12,0)</f>
        <v>51</v>
      </c>
      <c r="G2" s="4" t="n">
        <f aca="false">ROUND(INDEX(Règles!$C$5:$C$9,MATCH($D2,Règles!$A$5:$A$9,0))*$M2*$K2,0)</f>
        <v>10</v>
      </c>
      <c r="H2" s="4" t="n">
        <f aca="false">ROUND(INDEX(Règles!$C$5:$C$9,MATCH($D2,Règles!$A$5:$A$9,0))*$M2*$L2,0)</f>
        <v>10</v>
      </c>
      <c r="I2" s="28" t="n">
        <f aca="false">F2/Règles!$C$12+G2+H2</f>
        <v>30.2</v>
      </c>
      <c r="J2" s="29" t="n">
        <v>0.335</v>
      </c>
      <c r="K2" s="29" t="n">
        <v>0.325</v>
      </c>
      <c r="L2" s="29" t="n">
        <v>0.34</v>
      </c>
      <c r="M2" s="30" t="n">
        <v>1.009</v>
      </c>
    </row>
    <row r="3" customFormat="false" ht="15" hidden="false" customHeight="true" outlineLevel="0" collapsed="false">
      <c r="A3" s="3" t="n">
        <v>2</v>
      </c>
      <c r="B3" s="4" t="s">
        <v>313</v>
      </c>
      <c r="C3" s="4" t="s">
        <v>23</v>
      </c>
      <c r="D3" s="10" t="s">
        <v>199</v>
      </c>
      <c r="E3" s="4" t="s">
        <v>339</v>
      </c>
      <c r="F3" s="4" t="n">
        <f aca="false">ROUND(INDEX(Règles!$C$5:$C$9,MATCH($D3,Règles!$A$5:$A$9,0))*$M3*$J3*Règles!$C$12,0)</f>
        <v>39</v>
      </c>
      <c r="G3" s="4" t="n">
        <f aca="false">ROUND(INDEX(Règles!$C$5:$C$9,MATCH($D3,Règles!$A$5:$A$9,0))*$M3*$K3,0)</f>
        <v>14</v>
      </c>
      <c r="H3" s="4" t="n">
        <f aca="false">ROUND(INDEX(Règles!$C$5:$C$9,MATCH($D3,Règles!$A$5:$A$9,0))*$M3*$L3,0)</f>
        <v>8</v>
      </c>
      <c r="I3" s="28" t="n">
        <f aca="false">F3/Règles!$C$12+G3+H3</f>
        <v>29.8</v>
      </c>
      <c r="J3" s="29" t="n">
        <v>0.263</v>
      </c>
      <c r="K3" s="29" t="n">
        <v>0.479</v>
      </c>
      <c r="L3" s="29" t="n">
        <v>0.258</v>
      </c>
      <c r="M3" s="30" t="n">
        <v>0.991</v>
      </c>
    </row>
    <row r="4" customFormat="false" ht="15" hidden="false" customHeight="true" outlineLevel="0" collapsed="false">
      <c r="A4" s="3" t="n">
        <v>3</v>
      </c>
      <c r="B4" s="4" t="s">
        <v>222</v>
      </c>
      <c r="C4" s="4" t="s">
        <v>9</v>
      </c>
      <c r="D4" s="10" t="s">
        <v>199</v>
      </c>
      <c r="E4" s="4" t="s">
        <v>340</v>
      </c>
      <c r="F4" s="4" t="n">
        <f aca="false">ROUND(INDEX(Règles!$C$5:$C$9,MATCH($D4,Règles!$A$5:$A$9,0))*$M4*$J4*Règles!$C$12,0)</f>
        <v>44</v>
      </c>
      <c r="G4" s="4" t="n">
        <f aca="false">ROUND(INDEX(Règles!$C$5:$C$9,MATCH($D4,Règles!$A$5:$A$9,0))*$M4*$K4,0)</f>
        <v>6</v>
      </c>
      <c r="H4" s="4" t="n">
        <f aca="false">ROUND(INDEX(Règles!$C$5:$C$9,MATCH($D4,Règles!$A$5:$A$9,0))*$M4*$L4,0)</f>
        <v>15</v>
      </c>
      <c r="I4" s="28" t="n">
        <f aca="false">F4/Règles!$C$12+G4+H4</f>
        <v>29.8</v>
      </c>
      <c r="J4" s="29" t="n">
        <v>0.301</v>
      </c>
      <c r="K4" s="29" t="n">
        <v>0.19</v>
      </c>
      <c r="L4" s="29" t="n">
        <v>0.509</v>
      </c>
      <c r="M4" s="30" t="n">
        <v>0.983</v>
      </c>
    </row>
    <row r="5" customFormat="false" ht="15" hidden="false" customHeight="true" outlineLevel="0" collapsed="false">
      <c r="A5" s="3" t="n">
        <v>4</v>
      </c>
      <c r="B5" s="4" t="s">
        <v>224</v>
      </c>
      <c r="C5" s="4" t="s">
        <v>9</v>
      </c>
      <c r="D5" s="10" t="s">
        <v>199</v>
      </c>
      <c r="E5" s="4" t="s">
        <v>341</v>
      </c>
      <c r="F5" s="4" t="n">
        <f aca="false">ROUND(INDEX(Règles!$C$5:$C$9,MATCH($D5,Règles!$A$5:$A$9,0))*$M5*$J5*Règles!$C$12,0)</f>
        <v>82</v>
      </c>
      <c r="G5" s="4" t="n">
        <f aca="false">ROUND(INDEX(Règles!$C$5:$C$9,MATCH($D5,Règles!$A$5:$A$9,0))*$M5*$K5,0)</f>
        <v>8</v>
      </c>
      <c r="H5" s="4" t="n">
        <f aca="false">ROUND(INDEX(Règles!$C$5:$C$9,MATCH($D5,Règles!$A$5:$A$9,0))*$M5*$L5,0)</f>
        <v>7</v>
      </c>
      <c r="I5" s="28" t="n">
        <f aca="false">F5/Règles!$C$12+G5+H5</f>
        <v>31.4</v>
      </c>
      <c r="J5" s="29" t="n">
        <v>0.533</v>
      </c>
      <c r="K5" s="29" t="n">
        <v>0.255</v>
      </c>
      <c r="L5" s="29" t="n">
        <v>0.212</v>
      </c>
      <c r="M5" s="30" t="n">
        <v>1.026</v>
      </c>
    </row>
    <row r="6" customFormat="false" ht="15" hidden="false" customHeight="true" outlineLevel="0" collapsed="false">
      <c r="A6" s="3" t="n">
        <v>5</v>
      </c>
      <c r="B6" s="4" t="s">
        <v>237</v>
      </c>
      <c r="C6" s="4" t="s">
        <v>9</v>
      </c>
      <c r="D6" s="10" t="s">
        <v>199</v>
      </c>
      <c r="E6" s="4" t="s">
        <v>338</v>
      </c>
      <c r="F6" s="4" t="n">
        <f aca="false">ROUND(INDEX(Règles!$C$5:$C$9,MATCH($D6,Règles!$A$5:$A$9,0))*$M6*$J6*Règles!$C$12,0)</f>
        <v>52</v>
      </c>
      <c r="G6" s="4" t="n">
        <f aca="false">ROUND(INDEX(Règles!$C$5:$C$9,MATCH($D6,Règles!$A$5:$A$9,0))*$M6*$K6,0)</f>
        <v>10</v>
      </c>
      <c r="H6" s="4" t="n">
        <f aca="false">ROUND(INDEX(Règles!$C$5:$C$9,MATCH($D6,Règles!$A$5:$A$9,0))*$M6*$L6,0)</f>
        <v>9</v>
      </c>
      <c r="I6" s="28" t="n">
        <f aca="false">F6/Règles!$C$12+G6+H6</f>
        <v>29.4</v>
      </c>
      <c r="J6" s="29" t="n">
        <v>0.355</v>
      </c>
      <c r="K6" s="29" t="n">
        <v>0.327</v>
      </c>
      <c r="L6" s="29" t="n">
        <v>0.318</v>
      </c>
      <c r="M6" s="30" t="n">
        <v>0.979</v>
      </c>
    </row>
    <row r="7" customFormat="false" ht="15" hidden="false" customHeight="true" outlineLevel="0" collapsed="false">
      <c r="A7" s="3" t="n">
        <v>6</v>
      </c>
      <c r="B7" s="4" t="s">
        <v>288</v>
      </c>
      <c r="C7" s="4" t="s">
        <v>23</v>
      </c>
      <c r="D7" s="10" t="s">
        <v>199</v>
      </c>
      <c r="E7" s="4" t="s">
        <v>339</v>
      </c>
      <c r="F7" s="4" t="n">
        <f aca="false">ROUND(INDEX(Règles!$C$5:$C$9,MATCH($D7,Règles!$A$5:$A$9,0))*$M7*$J7*Règles!$C$12,0)</f>
        <v>34</v>
      </c>
      <c r="G7" s="4" t="n">
        <f aca="false">ROUND(INDEX(Règles!$C$5:$C$9,MATCH($D7,Règles!$A$5:$A$9,0))*$M7*$K7,0)</f>
        <v>15</v>
      </c>
      <c r="H7" s="4" t="n">
        <f aca="false">ROUND(INDEX(Règles!$C$5:$C$9,MATCH($D7,Règles!$A$5:$A$9,0))*$M7*$L7,0)</f>
        <v>8</v>
      </c>
      <c r="I7" s="28" t="n">
        <f aca="false">F7/Règles!$C$12+G7+H7</f>
        <v>29.8</v>
      </c>
      <c r="J7" s="29" t="n">
        <v>0.231</v>
      </c>
      <c r="K7" s="29" t="n">
        <v>0.509</v>
      </c>
      <c r="L7" s="29" t="n">
        <v>0.26</v>
      </c>
      <c r="M7" s="30" t="n">
        <v>0.986</v>
      </c>
    </row>
    <row r="8" customFormat="false" ht="15" hidden="false" customHeight="true" outlineLevel="0" collapsed="false">
      <c r="A8" s="3" t="n">
        <v>7</v>
      </c>
      <c r="B8" s="4" t="s">
        <v>260</v>
      </c>
      <c r="C8" s="4" t="s">
        <v>9</v>
      </c>
      <c r="D8" s="10" t="s">
        <v>199</v>
      </c>
      <c r="E8" s="4" t="s">
        <v>340</v>
      </c>
      <c r="F8" s="4" t="n">
        <f aca="false">ROUND(INDEX(Règles!$C$5:$C$9,MATCH($D8,Règles!$A$5:$A$9,0))*$M8*$J8*Règles!$C$12,0)</f>
        <v>43</v>
      </c>
      <c r="G8" s="4" t="n">
        <f aca="false">ROUND(INDEX(Règles!$C$5:$C$9,MATCH($D8,Règles!$A$5:$A$9,0))*$M8*$K8,0)</f>
        <v>7</v>
      </c>
      <c r="H8" s="4" t="n">
        <f aca="false">ROUND(INDEX(Règles!$C$5:$C$9,MATCH($D8,Règles!$A$5:$A$9,0))*$M8*$L8,0)</f>
        <v>15</v>
      </c>
      <c r="I8" s="28" t="n">
        <f aca="false">F8/Règles!$C$12+G8+H8</f>
        <v>30.6</v>
      </c>
      <c r="J8" s="29" t="n">
        <v>0.283</v>
      </c>
      <c r="K8" s="29" t="n">
        <v>0.222</v>
      </c>
      <c r="L8" s="29" t="n">
        <v>0.495</v>
      </c>
      <c r="M8" s="30" t="n">
        <v>1.02</v>
      </c>
    </row>
    <row r="9" customFormat="false" ht="15" hidden="false" customHeight="true" outlineLevel="0" collapsed="false">
      <c r="A9" s="3" t="n">
        <v>8</v>
      </c>
      <c r="B9" s="4" t="s">
        <v>249</v>
      </c>
      <c r="C9" s="4" t="s">
        <v>9</v>
      </c>
      <c r="D9" s="10" t="s">
        <v>199</v>
      </c>
      <c r="E9" s="4" t="s">
        <v>341</v>
      </c>
      <c r="F9" s="4" t="n">
        <f aca="false">ROUND(INDEX(Règles!$C$5:$C$9,MATCH($D9,Règles!$A$5:$A$9,0))*$M9*$J9*Règles!$C$12,0)</f>
        <v>80</v>
      </c>
      <c r="G9" s="4" t="n">
        <f aca="false">ROUND(INDEX(Règles!$C$5:$C$9,MATCH($D9,Règles!$A$5:$A$9,0))*$M9*$K9,0)</f>
        <v>7</v>
      </c>
      <c r="H9" s="4" t="n">
        <f aca="false">ROUND(INDEX(Règles!$C$5:$C$9,MATCH($D9,Règles!$A$5:$A$9,0))*$M9*$L9,0)</f>
        <v>7</v>
      </c>
      <c r="I9" s="28" t="n">
        <f aca="false">F9/Règles!$C$12+G9+H9</f>
        <v>30</v>
      </c>
      <c r="J9" s="29" t="n">
        <v>0.532</v>
      </c>
      <c r="K9" s="29" t="n">
        <v>0.249</v>
      </c>
      <c r="L9" s="29" t="n">
        <v>0.219</v>
      </c>
      <c r="M9" s="30" t="n">
        <v>1.001</v>
      </c>
    </row>
    <row r="10" customFormat="false" ht="15" hidden="false" customHeight="true" outlineLevel="0" collapsed="false">
      <c r="A10" s="3" t="n">
        <v>9</v>
      </c>
      <c r="B10" s="4" t="s">
        <v>304</v>
      </c>
      <c r="C10" s="4" t="s">
        <v>23</v>
      </c>
      <c r="D10" s="10" t="s">
        <v>199</v>
      </c>
      <c r="E10" s="4" t="s">
        <v>338</v>
      </c>
      <c r="F10" s="4" t="n">
        <f aca="false">ROUND(INDEX(Règles!$C$5:$C$9,MATCH($D10,Règles!$A$5:$A$9,0))*$M10*$J10*Règles!$C$12,0)</f>
        <v>48</v>
      </c>
      <c r="G10" s="4" t="n">
        <f aca="false">ROUND(INDEX(Règles!$C$5:$C$9,MATCH($D10,Règles!$A$5:$A$9,0))*$M10*$K10,0)</f>
        <v>10</v>
      </c>
      <c r="H10" s="4" t="n">
        <f aca="false">ROUND(INDEX(Règles!$C$5:$C$9,MATCH($D10,Règles!$A$5:$A$9,0))*$M10*$L10,0)</f>
        <v>10</v>
      </c>
      <c r="I10" s="28" t="n">
        <f aca="false">F10/Règles!$C$12+G10+H10</f>
        <v>29.6</v>
      </c>
      <c r="J10" s="29" t="n">
        <v>0.323</v>
      </c>
      <c r="K10" s="29" t="n">
        <v>0.335</v>
      </c>
      <c r="L10" s="29" t="n">
        <v>0.342</v>
      </c>
      <c r="M10" s="30" t="n">
        <v>0.989</v>
      </c>
    </row>
    <row r="11" customFormat="false" ht="15" hidden="false" customHeight="true" outlineLevel="0" collapsed="false">
      <c r="A11" s="3" t="n">
        <v>10</v>
      </c>
      <c r="B11" s="4" t="s">
        <v>274</v>
      </c>
      <c r="C11" s="4" t="s">
        <v>9</v>
      </c>
      <c r="D11" s="10" t="s">
        <v>199</v>
      </c>
      <c r="E11" s="4" t="s">
        <v>339</v>
      </c>
      <c r="F11" s="4" t="n">
        <f aca="false">ROUND(INDEX(Règles!$C$5:$C$9,MATCH($D11,Règles!$A$5:$A$9,0))*$M11*$J11*Règles!$C$12,0)</f>
        <v>38</v>
      </c>
      <c r="G11" s="4" t="n">
        <f aca="false">ROUND(INDEX(Règles!$C$5:$C$9,MATCH($D11,Règles!$A$5:$A$9,0))*$M11*$K11,0)</f>
        <v>14</v>
      </c>
      <c r="H11" s="4" t="n">
        <f aca="false">ROUND(INDEX(Règles!$C$5:$C$9,MATCH($D11,Règles!$A$5:$A$9,0))*$M11*$L11,0)</f>
        <v>8</v>
      </c>
      <c r="I11" s="28" t="n">
        <f aca="false">F11/Règles!$C$12+G11+H11</f>
        <v>29.6</v>
      </c>
      <c r="J11" s="29" t="n">
        <v>0.257</v>
      </c>
      <c r="K11" s="29" t="n">
        <v>0.467</v>
      </c>
      <c r="L11" s="29" t="n">
        <v>0.276</v>
      </c>
      <c r="M11" s="30" t="n">
        <v>0.998</v>
      </c>
    </row>
    <row r="12" customFormat="false" ht="15" hidden="false" customHeight="true" outlineLevel="0" collapsed="false">
      <c r="A12" s="3" t="n">
        <v>11</v>
      </c>
      <c r="B12" s="4" t="s">
        <v>242</v>
      </c>
      <c r="C12" s="4" t="s">
        <v>9</v>
      </c>
      <c r="D12" s="10" t="s">
        <v>199</v>
      </c>
      <c r="E12" s="4" t="s">
        <v>340</v>
      </c>
      <c r="F12" s="4" t="n">
        <f aca="false">ROUND(INDEX(Règles!$C$5:$C$9,MATCH($D12,Règles!$A$5:$A$9,0))*$M12*$J12*Règles!$C$12,0)</f>
        <v>48</v>
      </c>
      <c r="G12" s="4" t="n">
        <f aca="false">ROUND(INDEX(Règles!$C$5:$C$9,MATCH($D12,Règles!$A$5:$A$9,0))*$M12*$K12,0)</f>
        <v>6</v>
      </c>
      <c r="H12" s="4" t="n">
        <f aca="false">ROUND(INDEX(Règles!$C$5:$C$9,MATCH($D12,Règles!$A$5:$A$9,0))*$M12*$L12,0)</f>
        <v>15</v>
      </c>
      <c r="I12" s="28" t="n">
        <f aca="false">F12/Règles!$C$12+G12+H12</f>
        <v>30.6</v>
      </c>
      <c r="J12" s="29" t="n">
        <v>0.309</v>
      </c>
      <c r="K12" s="29" t="n">
        <v>0.199</v>
      </c>
      <c r="L12" s="29" t="n">
        <v>0.492</v>
      </c>
      <c r="M12" s="30" t="n">
        <v>1.026</v>
      </c>
    </row>
    <row r="13" customFormat="false" ht="15" hidden="false" customHeight="true" outlineLevel="0" collapsed="false">
      <c r="A13" s="3" t="n">
        <v>12</v>
      </c>
      <c r="B13" s="4" t="s">
        <v>217</v>
      </c>
      <c r="C13" s="4" t="s">
        <v>9</v>
      </c>
      <c r="D13" s="10" t="s">
        <v>199</v>
      </c>
      <c r="E13" s="4" t="s">
        <v>341</v>
      </c>
      <c r="F13" s="4" t="n">
        <f aca="false">ROUND(INDEX(Règles!$C$5:$C$9,MATCH($D13,Règles!$A$5:$A$9,0))*$M13*$J13*Règles!$C$12,0)</f>
        <v>85</v>
      </c>
      <c r="G13" s="4" t="n">
        <f aca="false">ROUND(INDEX(Règles!$C$5:$C$9,MATCH($D13,Règles!$A$5:$A$9,0))*$M13*$K13,0)</f>
        <v>7</v>
      </c>
      <c r="H13" s="4" t="n">
        <f aca="false">ROUND(INDEX(Règles!$C$5:$C$9,MATCH($D13,Règles!$A$5:$A$9,0))*$M13*$L13,0)</f>
        <v>7</v>
      </c>
      <c r="I13" s="28" t="n">
        <f aca="false">F13/Règles!$C$12+G13+H13</f>
        <v>31</v>
      </c>
      <c r="J13" s="29" t="n">
        <v>0.549</v>
      </c>
      <c r="K13" s="29" t="n">
        <v>0.233</v>
      </c>
      <c r="L13" s="29" t="n">
        <v>0.218</v>
      </c>
      <c r="M13" s="30" t="n">
        <v>1.027</v>
      </c>
    </row>
    <row r="14" customFormat="false" ht="15" hidden="false" customHeight="true" outlineLevel="0" collapsed="false">
      <c r="A14" s="3" t="n">
        <v>13</v>
      </c>
      <c r="B14" s="4" t="s">
        <v>310</v>
      </c>
      <c r="C14" s="4" t="s">
        <v>23</v>
      </c>
      <c r="D14" s="10" t="s">
        <v>199</v>
      </c>
      <c r="E14" s="4" t="s">
        <v>338</v>
      </c>
      <c r="F14" s="4" t="n">
        <f aca="false">ROUND(INDEX(Règles!$C$5:$C$9,MATCH($D14,Règles!$A$5:$A$9,0))*$M14*$J14*Règles!$C$12,0)</f>
        <v>48</v>
      </c>
      <c r="G14" s="4" t="n">
        <f aca="false">ROUND(INDEX(Règles!$C$5:$C$9,MATCH($D14,Règles!$A$5:$A$9,0))*$M14*$K14,0)</f>
        <v>10</v>
      </c>
      <c r="H14" s="4" t="n">
        <f aca="false">ROUND(INDEX(Règles!$C$5:$C$9,MATCH($D14,Règles!$A$5:$A$9,0))*$M14*$L14,0)</f>
        <v>9</v>
      </c>
      <c r="I14" s="28" t="n">
        <f aca="false">F14/Règles!$C$12+G14+H14</f>
        <v>28.6</v>
      </c>
      <c r="J14" s="29" t="n">
        <v>0.326</v>
      </c>
      <c r="K14" s="29" t="n">
        <v>0.352</v>
      </c>
      <c r="L14" s="29" t="n">
        <v>0.322</v>
      </c>
      <c r="M14" s="30" t="n">
        <v>0.982</v>
      </c>
    </row>
    <row r="15" customFormat="false" ht="15" hidden="false" customHeight="true" outlineLevel="0" collapsed="false">
      <c r="A15" s="3" t="n">
        <v>14</v>
      </c>
      <c r="B15" s="4" t="s">
        <v>277</v>
      </c>
      <c r="C15" s="4" t="s">
        <v>9</v>
      </c>
      <c r="D15" s="10" t="s">
        <v>199</v>
      </c>
      <c r="E15" s="4" t="s">
        <v>339</v>
      </c>
      <c r="F15" s="4" t="n">
        <f aca="false">ROUND(INDEX(Règles!$C$5:$C$9,MATCH($D15,Règles!$A$5:$A$9,0))*$M15*$J15*Règles!$C$12,0)</f>
        <v>36</v>
      </c>
      <c r="G15" s="4" t="n">
        <f aca="false">ROUND(INDEX(Règles!$C$5:$C$9,MATCH($D15,Règles!$A$5:$A$9,0))*$M15*$K15,0)</f>
        <v>15</v>
      </c>
      <c r="H15" s="4" t="n">
        <f aca="false">ROUND(INDEX(Règles!$C$5:$C$9,MATCH($D15,Règles!$A$5:$A$9,0))*$M15*$L15,0)</f>
        <v>8</v>
      </c>
      <c r="I15" s="28" t="n">
        <f aca="false">F15/Règles!$C$12+G15+H15</f>
        <v>30.2</v>
      </c>
      <c r="J15" s="29" t="n">
        <v>0.241</v>
      </c>
      <c r="K15" s="29" t="n">
        <v>0.507</v>
      </c>
      <c r="L15" s="29" t="n">
        <v>0.252</v>
      </c>
      <c r="M15" s="30" t="n">
        <v>0.998</v>
      </c>
    </row>
    <row r="16" customFormat="false" ht="15" hidden="false" customHeight="true" outlineLevel="0" collapsed="false">
      <c r="A16" s="3" t="n">
        <v>15</v>
      </c>
      <c r="B16" s="4" t="s">
        <v>206</v>
      </c>
      <c r="C16" s="4" t="s">
        <v>9</v>
      </c>
      <c r="D16" s="10" t="s">
        <v>199</v>
      </c>
      <c r="E16" s="4" t="s">
        <v>340</v>
      </c>
      <c r="F16" s="4" t="n">
        <f aca="false">ROUND(INDEX(Règles!$C$5:$C$9,MATCH($D16,Règles!$A$5:$A$9,0))*$M16*$J16*Règles!$C$12,0)</f>
        <v>48</v>
      </c>
      <c r="G16" s="4" t="n">
        <f aca="false">ROUND(INDEX(Règles!$C$5:$C$9,MATCH($D16,Règles!$A$5:$A$9,0))*$M16*$K16,0)</f>
        <v>6</v>
      </c>
      <c r="H16" s="4" t="n">
        <f aca="false">ROUND(INDEX(Règles!$C$5:$C$9,MATCH($D16,Règles!$A$5:$A$9,0))*$M16*$L16,0)</f>
        <v>15</v>
      </c>
      <c r="I16" s="28" t="n">
        <f aca="false">F16/Règles!$C$12+G16+H16</f>
        <v>30.6</v>
      </c>
      <c r="J16" s="29" t="n">
        <v>0.316</v>
      </c>
      <c r="K16" s="29" t="n">
        <v>0.204</v>
      </c>
      <c r="L16" s="29" t="n">
        <v>0.48</v>
      </c>
      <c r="M16" s="30" t="n">
        <v>1.008</v>
      </c>
    </row>
    <row r="17" customFormat="false" ht="15" hidden="false" customHeight="true" outlineLevel="0" collapsed="false">
      <c r="A17" s="3" t="n">
        <v>16</v>
      </c>
      <c r="B17" s="4" t="s">
        <v>200</v>
      </c>
      <c r="C17" s="4" t="s">
        <v>9</v>
      </c>
      <c r="D17" s="10" t="s">
        <v>199</v>
      </c>
      <c r="E17" s="4" t="s">
        <v>341</v>
      </c>
      <c r="F17" s="4" t="n">
        <f aca="false">ROUND(INDEX(Règles!$C$5:$C$9,MATCH($D17,Règles!$A$5:$A$9,0))*$M17*$J17*Règles!$C$12,0)</f>
        <v>79</v>
      </c>
      <c r="G17" s="4" t="n">
        <f aca="false">ROUND(INDEX(Règles!$C$5:$C$9,MATCH($D17,Règles!$A$5:$A$9,0))*$M17*$K17,0)</f>
        <v>8</v>
      </c>
      <c r="H17" s="4" t="n">
        <f aca="false">ROUND(INDEX(Règles!$C$5:$C$9,MATCH($D17,Règles!$A$5:$A$9,0))*$M17*$L17,0)</f>
        <v>7</v>
      </c>
      <c r="I17" s="28" t="n">
        <f aca="false">F17/Règles!$C$12+G17+H17</f>
        <v>30.8</v>
      </c>
      <c r="J17" s="29" t="n">
        <v>0.514</v>
      </c>
      <c r="K17" s="29" t="n">
        <v>0.266</v>
      </c>
      <c r="L17" s="29" t="n">
        <v>0.22</v>
      </c>
      <c r="M17" s="30" t="n">
        <v>1.019</v>
      </c>
    </row>
    <row r="18" customFormat="false" ht="15" hidden="false" customHeight="true" outlineLevel="0" collapsed="false">
      <c r="A18" s="3" t="n">
        <v>17</v>
      </c>
      <c r="B18" s="4" t="s">
        <v>255</v>
      </c>
      <c r="C18" s="4" t="s">
        <v>9</v>
      </c>
      <c r="D18" s="10" t="s">
        <v>199</v>
      </c>
      <c r="E18" s="4" t="s">
        <v>338</v>
      </c>
      <c r="F18" s="4" t="n">
        <f aca="false">ROUND(INDEX(Règles!$C$5:$C$9,MATCH($D18,Règles!$A$5:$A$9,0))*$M18*$J18*Règles!$C$12,0)</f>
        <v>52</v>
      </c>
      <c r="G18" s="4" t="n">
        <f aca="false">ROUND(INDEX(Règles!$C$5:$C$9,MATCH($D18,Règles!$A$5:$A$9,0))*$M18*$K18,0)</f>
        <v>10</v>
      </c>
      <c r="H18" s="4" t="n">
        <f aca="false">ROUND(INDEX(Règles!$C$5:$C$9,MATCH($D18,Règles!$A$5:$A$9,0))*$M18*$L18,0)</f>
        <v>10</v>
      </c>
      <c r="I18" s="28" t="n">
        <f aca="false">F18/Règles!$C$12+G18+H18</f>
        <v>30.4</v>
      </c>
      <c r="J18" s="29" t="n">
        <v>0.343</v>
      </c>
      <c r="K18" s="29" t="n">
        <v>0.326</v>
      </c>
      <c r="L18" s="29" t="n">
        <v>0.331</v>
      </c>
      <c r="M18" s="30" t="n">
        <v>1.008</v>
      </c>
    </row>
    <row r="19" customFormat="false" ht="15" hidden="false" customHeight="true" outlineLevel="0" collapsed="false">
      <c r="A19" s="3" t="n">
        <v>18</v>
      </c>
      <c r="B19" s="4" t="s">
        <v>218</v>
      </c>
      <c r="C19" s="4" t="s">
        <v>9</v>
      </c>
      <c r="D19" s="10" t="s">
        <v>199</v>
      </c>
      <c r="E19" s="4" t="s">
        <v>339</v>
      </c>
      <c r="F19" s="4" t="n">
        <f aca="false">ROUND(INDEX(Règles!$C$5:$C$9,MATCH($D19,Règles!$A$5:$A$9,0))*$M19*$J19*Règles!$C$12,0)</f>
        <v>34</v>
      </c>
      <c r="G19" s="4" t="n">
        <f aca="false">ROUND(INDEX(Règles!$C$5:$C$9,MATCH($D19,Règles!$A$5:$A$9,0))*$M19*$K19,0)</f>
        <v>15</v>
      </c>
      <c r="H19" s="4" t="n">
        <f aca="false">ROUND(INDEX(Règles!$C$5:$C$9,MATCH($D19,Règles!$A$5:$A$9,0))*$M19*$L19,0)</f>
        <v>8</v>
      </c>
      <c r="I19" s="28" t="n">
        <f aca="false">F19/Règles!$C$12+G19+H19</f>
        <v>29.8</v>
      </c>
      <c r="J19" s="29" t="n">
        <v>0.229</v>
      </c>
      <c r="K19" s="29" t="n">
        <v>0.502</v>
      </c>
      <c r="L19" s="29" t="n">
        <v>0.269</v>
      </c>
      <c r="M19" s="30" t="n">
        <v>0.978</v>
      </c>
    </row>
    <row r="20" customFormat="false" ht="15" hidden="false" customHeight="true" outlineLevel="0" collapsed="false">
      <c r="A20" s="3" t="n">
        <v>19</v>
      </c>
      <c r="B20" s="4" t="s">
        <v>246</v>
      </c>
      <c r="C20" s="4" t="s">
        <v>9</v>
      </c>
      <c r="D20" s="10" t="s">
        <v>199</v>
      </c>
      <c r="E20" s="4" t="s">
        <v>340</v>
      </c>
      <c r="F20" s="4" t="n">
        <f aca="false">ROUND(INDEX(Règles!$C$5:$C$9,MATCH($D20,Règles!$A$5:$A$9,0))*$M20*$J20*Règles!$C$12,0)</f>
        <v>46</v>
      </c>
      <c r="G20" s="4" t="n">
        <f aca="false">ROUND(INDEX(Règles!$C$5:$C$9,MATCH($D20,Règles!$A$5:$A$9,0))*$M20*$K20,0)</f>
        <v>7</v>
      </c>
      <c r="H20" s="4" t="n">
        <f aca="false">ROUND(INDEX(Règles!$C$5:$C$9,MATCH($D20,Règles!$A$5:$A$9,0))*$M20*$L20,0)</f>
        <v>14</v>
      </c>
      <c r="I20" s="28" t="n">
        <f aca="false">F20/Règles!$C$12+G20+H20</f>
        <v>30.2</v>
      </c>
      <c r="J20" s="29" t="n">
        <v>0.31</v>
      </c>
      <c r="K20" s="29" t="n">
        <v>0.226</v>
      </c>
      <c r="L20" s="29" t="n">
        <v>0.464</v>
      </c>
      <c r="M20" s="30" t="n">
        <v>0.983</v>
      </c>
    </row>
    <row r="21" customFormat="false" ht="15" hidden="false" customHeight="true" outlineLevel="0" collapsed="false">
      <c r="A21" s="3" t="n">
        <v>20</v>
      </c>
      <c r="B21" s="4" t="s">
        <v>297</v>
      </c>
      <c r="C21" s="4" t="s">
        <v>23</v>
      </c>
      <c r="D21" s="10" t="s">
        <v>199</v>
      </c>
      <c r="E21" s="4" t="s">
        <v>341</v>
      </c>
      <c r="F21" s="4" t="n">
        <f aca="false">ROUND(INDEX(Règles!$C$5:$C$9,MATCH($D21,Règles!$A$5:$A$9,0))*$M21*$J21*Règles!$C$12,0)</f>
        <v>85</v>
      </c>
      <c r="G21" s="4" t="n">
        <f aca="false">ROUND(INDEX(Règles!$C$5:$C$9,MATCH($D21,Règles!$A$5:$A$9,0))*$M21*$K21,0)</f>
        <v>8</v>
      </c>
      <c r="H21" s="4" t="n">
        <f aca="false">ROUND(INDEX(Règles!$C$5:$C$9,MATCH($D21,Règles!$A$5:$A$9,0))*$M21*$L21,0)</f>
        <v>6</v>
      </c>
      <c r="I21" s="28" t="n">
        <f aca="false">F21/Règles!$C$12+G21+H21</f>
        <v>31</v>
      </c>
      <c r="J21" s="29" t="n">
        <v>0.554</v>
      </c>
      <c r="K21" s="29" t="n">
        <v>0.247</v>
      </c>
      <c r="L21" s="29" t="n">
        <v>0.199</v>
      </c>
      <c r="M21" s="30" t="n">
        <v>1.027</v>
      </c>
    </row>
    <row r="22" customFormat="false" ht="15" hidden="false" customHeight="true" outlineLevel="0" collapsed="false">
      <c r="A22" s="3" t="n">
        <v>21</v>
      </c>
      <c r="B22" s="4" t="s">
        <v>311</v>
      </c>
      <c r="C22" s="4" t="s">
        <v>23</v>
      </c>
      <c r="D22" s="10" t="s">
        <v>199</v>
      </c>
      <c r="E22" s="4" t="s">
        <v>338</v>
      </c>
      <c r="F22" s="4" t="n">
        <f aca="false">ROUND(INDEX(Règles!$C$5:$C$9,MATCH($D22,Règles!$A$5:$A$9,0))*$M22*$J22*Règles!$C$12,0)</f>
        <v>49</v>
      </c>
      <c r="G22" s="4" t="n">
        <f aca="false">ROUND(INDEX(Règles!$C$5:$C$9,MATCH($D22,Règles!$A$5:$A$9,0))*$M22*$K22,0)</f>
        <v>11</v>
      </c>
      <c r="H22" s="4" t="n">
        <f aca="false">ROUND(INDEX(Règles!$C$5:$C$9,MATCH($D22,Règles!$A$5:$A$9,0))*$M22*$L22,0)</f>
        <v>10</v>
      </c>
      <c r="I22" s="28" t="n">
        <f aca="false">F22/Règles!$C$12+G22+H22</f>
        <v>30.8</v>
      </c>
      <c r="J22" s="29" t="n">
        <v>0.326</v>
      </c>
      <c r="K22" s="29" t="n">
        <v>0.35</v>
      </c>
      <c r="L22" s="29" t="n">
        <v>0.324</v>
      </c>
      <c r="M22" s="30" t="n">
        <v>1.009</v>
      </c>
    </row>
    <row r="23" customFormat="false" ht="15" hidden="false" customHeight="true" outlineLevel="0" collapsed="false">
      <c r="A23" s="3" t="n">
        <v>22</v>
      </c>
      <c r="B23" s="4" t="s">
        <v>205</v>
      </c>
      <c r="C23" s="4" t="s">
        <v>9</v>
      </c>
      <c r="D23" s="10" t="s">
        <v>199</v>
      </c>
      <c r="E23" s="4" t="s">
        <v>339</v>
      </c>
      <c r="F23" s="4" t="n">
        <f aca="false">ROUND(INDEX(Règles!$C$5:$C$9,MATCH($D23,Règles!$A$5:$A$9,0))*$M23*$J23*Règles!$C$12,0)</f>
        <v>37</v>
      </c>
      <c r="G23" s="4" t="n">
        <f aca="false">ROUND(INDEX(Règles!$C$5:$C$9,MATCH($D23,Règles!$A$5:$A$9,0))*$M23*$K23,0)</f>
        <v>16</v>
      </c>
      <c r="H23" s="4" t="n">
        <f aca="false">ROUND(INDEX(Règles!$C$5:$C$9,MATCH($D23,Règles!$A$5:$A$9,0))*$M23*$L23,0)</f>
        <v>7</v>
      </c>
      <c r="I23" s="28" t="n">
        <f aca="false">F23/Règles!$C$12+G23+H23</f>
        <v>30.4</v>
      </c>
      <c r="J23" s="29" t="n">
        <v>0.24</v>
      </c>
      <c r="K23" s="29" t="n">
        <v>0.524</v>
      </c>
      <c r="L23" s="29" t="n">
        <v>0.236</v>
      </c>
      <c r="M23" s="30" t="n">
        <v>1.014</v>
      </c>
    </row>
    <row r="24" customFormat="false" ht="15" hidden="false" customHeight="true" outlineLevel="0" collapsed="false">
      <c r="A24" s="3" t="n">
        <v>23</v>
      </c>
      <c r="B24" s="4" t="s">
        <v>209</v>
      </c>
      <c r="C24" s="4" t="s">
        <v>9</v>
      </c>
      <c r="D24" s="10" t="s">
        <v>199</v>
      </c>
      <c r="E24" s="4" t="s">
        <v>340</v>
      </c>
      <c r="F24" s="4" t="n">
        <f aca="false">ROUND(INDEX(Règles!$C$5:$C$9,MATCH($D24,Règles!$A$5:$A$9,0))*$M24*$J24*Règles!$C$12,0)</f>
        <v>46</v>
      </c>
      <c r="G24" s="4" t="n">
        <f aca="false">ROUND(INDEX(Règles!$C$5:$C$9,MATCH($D24,Règles!$A$5:$A$9,0))*$M24*$K24,0)</f>
        <v>6</v>
      </c>
      <c r="H24" s="4" t="n">
        <f aca="false">ROUND(INDEX(Règles!$C$5:$C$9,MATCH($D24,Règles!$A$5:$A$9,0))*$M24*$L24,0)</f>
        <v>15</v>
      </c>
      <c r="I24" s="28" t="n">
        <f aca="false">F24/Règles!$C$12+G24+H24</f>
        <v>30.2</v>
      </c>
      <c r="J24" s="29" t="n">
        <v>0.306</v>
      </c>
      <c r="K24" s="29" t="n">
        <v>0.196</v>
      </c>
      <c r="L24" s="29" t="n">
        <v>0.498</v>
      </c>
      <c r="M24" s="30" t="n">
        <v>1.006</v>
      </c>
    </row>
    <row r="25" customFormat="false" ht="15" hidden="false" customHeight="true" outlineLevel="0" collapsed="false">
      <c r="A25" s="3" t="n">
        <v>24</v>
      </c>
      <c r="B25" s="4" t="s">
        <v>228</v>
      </c>
      <c r="C25" s="4" t="s">
        <v>9</v>
      </c>
      <c r="D25" s="10" t="s">
        <v>199</v>
      </c>
      <c r="E25" s="4" t="s">
        <v>341</v>
      </c>
      <c r="F25" s="4" t="n">
        <f aca="false">ROUND(INDEX(Règles!$C$5:$C$9,MATCH($D25,Règles!$A$5:$A$9,0))*$M25*$J25*Règles!$C$12,0)</f>
        <v>87</v>
      </c>
      <c r="G25" s="4" t="n">
        <f aca="false">ROUND(INDEX(Règles!$C$5:$C$9,MATCH($D25,Règles!$A$5:$A$9,0))*$M25*$K25,0)</f>
        <v>7</v>
      </c>
      <c r="H25" s="4" t="n">
        <f aca="false">ROUND(INDEX(Règles!$C$5:$C$9,MATCH($D25,Règles!$A$5:$A$9,0))*$M25*$L25,0)</f>
        <v>6</v>
      </c>
      <c r="I25" s="28" t="n">
        <f aca="false">F25/Règles!$C$12+G25+H25</f>
        <v>30.4</v>
      </c>
      <c r="J25" s="29" t="n">
        <v>0.576</v>
      </c>
      <c r="K25" s="29" t="n">
        <v>0.233</v>
      </c>
      <c r="L25" s="29" t="n">
        <v>0.191</v>
      </c>
      <c r="M25" s="30" t="n">
        <v>1.002</v>
      </c>
    </row>
    <row r="26" customFormat="false" ht="15" hidden="false" customHeight="true" outlineLevel="0" collapsed="false">
      <c r="A26" s="3" t="n">
        <v>25</v>
      </c>
      <c r="B26" s="4" t="s">
        <v>202</v>
      </c>
      <c r="C26" s="4" t="s">
        <v>9</v>
      </c>
      <c r="D26" s="10" t="s">
        <v>199</v>
      </c>
      <c r="E26" s="4" t="s">
        <v>338</v>
      </c>
      <c r="F26" s="4" t="n">
        <f aca="false">ROUND(INDEX(Règles!$C$5:$C$9,MATCH($D26,Règles!$A$5:$A$9,0))*$M26*$J26*Règles!$C$12,0)</f>
        <v>50</v>
      </c>
      <c r="G26" s="4" t="n">
        <f aca="false">ROUND(INDEX(Règles!$C$5:$C$9,MATCH($D26,Règles!$A$5:$A$9,0))*$M26*$K26,0)</f>
        <v>11</v>
      </c>
      <c r="H26" s="4" t="n">
        <f aca="false">ROUND(INDEX(Règles!$C$5:$C$9,MATCH($D26,Règles!$A$5:$A$9,0))*$M26*$L26,0)</f>
        <v>9</v>
      </c>
      <c r="I26" s="28" t="n">
        <f aca="false">F26/Règles!$C$12+G26+H26</f>
        <v>30</v>
      </c>
      <c r="J26" s="29" t="n">
        <v>0.331</v>
      </c>
      <c r="K26" s="29" t="n">
        <v>0.358</v>
      </c>
      <c r="L26" s="29" t="n">
        <v>0.311</v>
      </c>
      <c r="M26" s="30" t="n">
        <v>1.015</v>
      </c>
    </row>
    <row r="27" customFormat="false" ht="15" hidden="false" customHeight="true" outlineLevel="0" collapsed="false">
      <c r="A27" s="3" t="n">
        <v>26</v>
      </c>
      <c r="B27" s="4" t="s">
        <v>212</v>
      </c>
      <c r="C27" s="4" t="s">
        <v>9</v>
      </c>
      <c r="D27" s="10" t="s">
        <v>199</v>
      </c>
      <c r="E27" s="4" t="s">
        <v>339</v>
      </c>
      <c r="F27" s="4" t="n">
        <f aca="false">ROUND(INDEX(Règles!$C$5:$C$9,MATCH($D27,Règles!$A$5:$A$9,0))*$M27*$J27*Règles!$C$12,0)</f>
        <v>34</v>
      </c>
      <c r="G27" s="4" t="n">
        <f aca="false">ROUND(INDEX(Règles!$C$5:$C$9,MATCH($D27,Règles!$A$5:$A$9,0))*$M27*$K27,0)</f>
        <v>15</v>
      </c>
      <c r="H27" s="4" t="n">
        <f aca="false">ROUND(INDEX(Règles!$C$5:$C$9,MATCH($D27,Règles!$A$5:$A$9,0))*$M27*$L27,0)</f>
        <v>8</v>
      </c>
      <c r="I27" s="28" t="n">
        <f aca="false">F27/Règles!$C$12+G27+H27</f>
        <v>29.8</v>
      </c>
      <c r="J27" s="29" t="n">
        <v>0.226</v>
      </c>
      <c r="K27" s="29" t="n">
        <v>0.519</v>
      </c>
      <c r="L27" s="29" t="n">
        <v>0.255</v>
      </c>
      <c r="M27" s="30" t="n">
        <v>0.995</v>
      </c>
    </row>
    <row r="28" customFormat="false" ht="15" hidden="false" customHeight="true" outlineLevel="0" collapsed="false">
      <c r="A28" s="3" t="n">
        <v>27</v>
      </c>
      <c r="B28" s="4" t="s">
        <v>204</v>
      </c>
      <c r="C28" s="4" t="s">
        <v>9</v>
      </c>
      <c r="D28" s="10" t="s">
        <v>199</v>
      </c>
      <c r="E28" s="4" t="s">
        <v>340</v>
      </c>
      <c r="F28" s="4" t="n">
        <f aca="false">ROUND(INDEX(Règles!$C$5:$C$9,MATCH($D28,Règles!$A$5:$A$9,0))*$M28*$J28*Règles!$C$12,0)</f>
        <v>46</v>
      </c>
      <c r="G28" s="4" t="n">
        <f aca="false">ROUND(INDEX(Règles!$C$5:$C$9,MATCH($D28,Règles!$A$5:$A$9,0))*$M28*$K28,0)</f>
        <v>6</v>
      </c>
      <c r="H28" s="4" t="n">
        <f aca="false">ROUND(INDEX(Règles!$C$5:$C$9,MATCH($D28,Règles!$A$5:$A$9,0))*$M28*$L28,0)</f>
        <v>15</v>
      </c>
      <c r="I28" s="28" t="n">
        <f aca="false">F28/Règles!$C$12+G28+H28</f>
        <v>30.2</v>
      </c>
      <c r="J28" s="29" t="n">
        <v>0.297</v>
      </c>
      <c r="K28" s="29" t="n">
        <v>0.209</v>
      </c>
      <c r="L28" s="29" t="n">
        <v>0.494</v>
      </c>
      <c r="M28" s="30" t="n">
        <v>1.03</v>
      </c>
    </row>
    <row r="29" customFormat="false" ht="15" hidden="false" customHeight="true" outlineLevel="0" collapsed="false">
      <c r="A29" s="3" t="n">
        <v>28</v>
      </c>
      <c r="B29" s="4" t="s">
        <v>262</v>
      </c>
      <c r="C29" s="4" t="s">
        <v>9</v>
      </c>
      <c r="D29" s="10" t="s">
        <v>199</v>
      </c>
      <c r="E29" s="4" t="s">
        <v>341</v>
      </c>
      <c r="F29" s="4" t="n">
        <f aca="false">ROUND(INDEX(Règles!$C$5:$C$9,MATCH($D29,Règles!$A$5:$A$9,0))*$M29*$J29*Règles!$C$12,0)</f>
        <v>83</v>
      </c>
      <c r="G29" s="4" t="n">
        <f aca="false">ROUND(INDEX(Règles!$C$5:$C$9,MATCH($D29,Règles!$A$5:$A$9,0))*$M29*$K29,0)</f>
        <v>8</v>
      </c>
      <c r="H29" s="4" t="n">
        <f aca="false">ROUND(INDEX(Règles!$C$5:$C$9,MATCH($D29,Règles!$A$5:$A$9,0))*$M29*$L29,0)</f>
        <v>6</v>
      </c>
      <c r="I29" s="28" t="n">
        <f aca="false">F29/Règles!$C$12+G29+H29</f>
        <v>30.6</v>
      </c>
      <c r="J29" s="29" t="n">
        <v>0.551</v>
      </c>
      <c r="K29" s="29" t="n">
        <v>0.261</v>
      </c>
      <c r="L29" s="29" t="n">
        <v>0.188</v>
      </c>
      <c r="M29" s="30" t="n">
        <v>1.002</v>
      </c>
    </row>
    <row r="30" customFormat="false" ht="15" hidden="false" customHeight="true" outlineLevel="0" collapsed="false">
      <c r="A30" s="3" t="n">
        <v>29</v>
      </c>
      <c r="B30" s="4" t="s">
        <v>273</v>
      </c>
      <c r="C30" s="4" t="s">
        <v>9</v>
      </c>
      <c r="D30" s="10" t="s">
        <v>199</v>
      </c>
      <c r="E30" s="4" t="s">
        <v>338</v>
      </c>
      <c r="F30" s="4" t="n">
        <f aca="false">ROUND(INDEX(Règles!$C$5:$C$9,MATCH($D30,Règles!$A$5:$A$9,0))*$M30*$J30*Règles!$C$12,0)</f>
        <v>49</v>
      </c>
      <c r="G30" s="4" t="n">
        <f aca="false">ROUND(INDEX(Règles!$C$5:$C$9,MATCH($D30,Règles!$A$5:$A$9,0))*$M30*$K30,0)</f>
        <v>11</v>
      </c>
      <c r="H30" s="4" t="n">
        <f aca="false">ROUND(INDEX(Règles!$C$5:$C$9,MATCH($D30,Règles!$A$5:$A$9,0))*$M30*$L30,0)</f>
        <v>10</v>
      </c>
      <c r="I30" s="28" t="n">
        <f aca="false">F30/Règles!$C$12+G30+H30</f>
        <v>30.8</v>
      </c>
      <c r="J30" s="29" t="n">
        <v>0.319</v>
      </c>
      <c r="K30" s="29" t="n">
        <v>0.352</v>
      </c>
      <c r="L30" s="29" t="n">
        <v>0.329</v>
      </c>
      <c r="M30" s="30" t="n">
        <v>1.023</v>
      </c>
    </row>
    <row r="31" customFormat="false" ht="15" hidden="false" customHeight="true" outlineLevel="0" collapsed="false">
      <c r="A31" s="3" t="n">
        <v>30</v>
      </c>
      <c r="B31" s="4" t="s">
        <v>284</v>
      </c>
      <c r="C31" s="4" t="s">
        <v>23</v>
      </c>
      <c r="D31" s="10" t="s">
        <v>199</v>
      </c>
      <c r="E31" s="4" t="s">
        <v>339</v>
      </c>
      <c r="F31" s="4" t="n">
        <f aca="false">ROUND(INDEX(Règles!$C$5:$C$9,MATCH($D31,Règles!$A$5:$A$9,0))*$M31*$J31*Règles!$C$12,0)</f>
        <v>40</v>
      </c>
      <c r="G31" s="4" t="n">
        <f aca="false">ROUND(INDEX(Règles!$C$5:$C$9,MATCH($D31,Règles!$A$5:$A$9,0))*$M31*$K31,0)</f>
        <v>14</v>
      </c>
      <c r="H31" s="4" t="n">
        <f aca="false">ROUND(INDEX(Règles!$C$5:$C$9,MATCH($D31,Règles!$A$5:$A$9,0))*$M31*$L31,0)</f>
        <v>7</v>
      </c>
      <c r="I31" s="28" t="n">
        <f aca="false">F31/Règles!$C$12+G31+H31</f>
        <v>29</v>
      </c>
      <c r="J31" s="29" t="n">
        <v>0.266</v>
      </c>
      <c r="K31" s="29" t="n">
        <v>0.484</v>
      </c>
      <c r="L31" s="29" t="n">
        <v>0.25</v>
      </c>
      <c r="M31" s="30" t="n">
        <v>0.992</v>
      </c>
    </row>
    <row r="32" customFormat="false" ht="15" hidden="false" customHeight="true" outlineLevel="0" collapsed="false">
      <c r="A32" s="3" t="n">
        <v>31</v>
      </c>
      <c r="B32" s="4" t="s">
        <v>201</v>
      </c>
      <c r="C32" s="4" t="s">
        <v>9</v>
      </c>
      <c r="D32" s="10" t="s">
        <v>199</v>
      </c>
      <c r="E32" s="4" t="s">
        <v>340</v>
      </c>
      <c r="F32" s="4" t="n">
        <f aca="false">ROUND(INDEX(Règles!$C$5:$C$9,MATCH($D32,Règles!$A$5:$A$9,0))*$M32*$J32*Règles!$C$12,0)</f>
        <v>43</v>
      </c>
      <c r="G32" s="4" t="n">
        <f aca="false">ROUND(INDEX(Règles!$C$5:$C$9,MATCH($D32,Règles!$A$5:$A$9,0))*$M32*$K32,0)</f>
        <v>5</v>
      </c>
      <c r="H32" s="4" t="n">
        <f aca="false">ROUND(INDEX(Règles!$C$5:$C$9,MATCH($D32,Règles!$A$5:$A$9,0))*$M32*$L32,0)</f>
        <v>15</v>
      </c>
      <c r="I32" s="28" t="n">
        <f aca="false">F32/Règles!$C$12+G32+H32</f>
        <v>28.6</v>
      </c>
      <c r="J32" s="29" t="n">
        <v>0.292</v>
      </c>
      <c r="K32" s="29" t="n">
        <v>0.185</v>
      </c>
      <c r="L32" s="29" t="n">
        <v>0.523</v>
      </c>
      <c r="M32" s="30" t="n">
        <v>0.978</v>
      </c>
    </row>
    <row r="33" customFormat="false" ht="15" hidden="false" customHeight="true" outlineLevel="0" collapsed="false">
      <c r="A33" s="3" t="n">
        <v>32</v>
      </c>
      <c r="B33" s="4" t="s">
        <v>258</v>
      </c>
      <c r="C33" s="4" t="s">
        <v>9</v>
      </c>
      <c r="D33" s="10" t="s">
        <v>199</v>
      </c>
      <c r="E33" s="4" t="s">
        <v>341</v>
      </c>
      <c r="F33" s="4" t="n">
        <f aca="false">ROUND(INDEX(Règles!$C$5:$C$9,MATCH($D33,Règles!$A$5:$A$9,0))*$M33*$J33*Règles!$C$12,0)</f>
        <v>84</v>
      </c>
      <c r="G33" s="4" t="n">
        <f aca="false">ROUND(INDEX(Règles!$C$5:$C$9,MATCH($D33,Règles!$A$5:$A$9,0))*$M33*$K33,0)</f>
        <v>7</v>
      </c>
      <c r="H33" s="4" t="n">
        <f aca="false">ROUND(INDEX(Règles!$C$5:$C$9,MATCH($D33,Règles!$A$5:$A$9,0))*$M33*$L33,0)</f>
        <v>6</v>
      </c>
      <c r="I33" s="28" t="n">
        <f aca="false">F33/Règles!$C$12+G33+H33</f>
        <v>29.8</v>
      </c>
      <c r="J33" s="29" t="n">
        <v>0.551</v>
      </c>
      <c r="K33" s="29" t="n">
        <v>0.237</v>
      </c>
      <c r="L33" s="29" t="n">
        <v>0.212</v>
      </c>
      <c r="M33" s="30" t="n">
        <v>1.014</v>
      </c>
    </row>
    <row r="34" customFormat="false" ht="15" hidden="false" customHeight="true" outlineLevel="0" collapsed="false">
      <c r="A34" s="3" t="n">
        <v>33</v>
      </c>
      <c r="B34" s="4" t="s">
        <v>300</v>
      </c>
      <c r="C34" s="4" t="s">
        <v>23</v>
      </c>
      <c r="D34" s="10" t="s">
        <v>199</v>
      </c>
      <c r="E34" s="4" t="s">
        <v>338</v>
      </c>
      <c r="F34" s="4" t="n">
        <f aca="false">ROUND(INDEX(Règles!$C$5:$C$9,MATCH($D34,Règles!$A$5:$A$9,0))*$M34*$J34*Règles!$C$12,0)</f>
        <v>49</v>
      </c>
      <c r="G34" s="4" t="n">
        <f aca="false">ROUND(INDEX(Règles!$C$5:$C$9,MATCH($D34,Règles!$A$5:$A$9,0))*$M34*$K34,0)</f>
        <v>10</v>
      </c>
      <c r="H34" s="4" t="n">
        <f aca="false">ROUND(INDEX(Règles!$C$5:$C$9,MATCH($D34,Règles!$A$5:$A$9,0))*$M34*$L34,0)</f>
        <v>10</v>
      </c>
      <c r="I34" s="28" t="n">
        <f aca="false">F34/Règles!$C$12+G34+H34</f>
        <v>29.8</v>
      </c>
      <c r="J34" s="29" t="n">
        <v>0.33</v>
      </c>
      <c r="K34" s="29" t="n">
        <v>0.334</v>
      </c>
      <c r="L34" s="29" t="n">
        <v>0.336</v>
      </c>
      <c r="M34" s="30" t="n">
        <v>0.991</v>
      </c>
    </row>
    <row r="35" customFormat="false" ht="15" hidden="false" customHeight="true" outlineLevel="0" collapsed="false">
      <c r="A35" s="3" t="n">
        <v>34</v>
      </c>
      <c r="B35" s="4" t="s">
        <v>267</v>
      </c>
      <c r="C35" s="4" t="s">
        <v>9</v>
      </c>
      <c r="D35" s="10" t="s">
        <v>199</v>
      </c>
      <c r="E35" s="4" t="s">
        <v>339</v>
      </c>
      <c r="F35" s="4" t="n">
        <f aca="false">ROUND(INDEX(Règles!$C$5:$C$9,MATCH($D35,Règles!$A$5:$A$9,0))*$M35*$J35*Règles!$C$12,0)</f>
        <v>42</v>
      </c>
      <c r="G35" s="4" t="n">
        <f aca="false">ROUND(INDEX(Règles!$C$5:$C$9,MATCH($D35,Règles!$A$5:$A$9,0))*$M35*$K35,0)</f>
        <v>15</v>
      </c>
      <c r="H35" s="4" t="n">
        <f aca="false">ROUND(INDEX(Règles!$C$5:$C$9,MATCH($D35,Règles!$A$5:$A$9,0))*$M35*$L35,0)</f>
        <v>8</v>
      </c>
      <c r="I35" s="28" t="n">
        <f aca="false">F35/Règles!$C$12+G35+H35</f>
        <v>31.4</v>
      </c>
      <c r="J35" s="29" t="n">
        <v>0.274</v>
      </c>
      <c r="K35" s="29" t="n">
        <v>0.476</v>
      </c>
      <c r="L35" s="29" t="n">
        <v>0.25</v>
      </c>
      <c r="M35" s="30" t="n">
        <v>1.02</v>
      </c>
    </row>
    <row r="36" customFormat="false" ht="15" hidden="false" customHeight="true" outlineLevel="0" collapsed="false">
      <c r="A36" s="3" t="n">
        <v>35</v>
      </c>
      <c r="B36" s="4" t="s">
        <v>294</v>
      </c>
      <c r="C36" s="4" t="s">
        <v>23</v>
      </c>
      <c r="D36" s="10" t="s">
        <v>199</v>
      </c>
      <c r="E36" s="4" t="s">
        <v>340</v>
      </c>
      <c r="F36" s="4" t="n">
        <f aca="false">ROUND(INDEX(Règles!$C$5:$C$9,MATCH($D36,Règles!$A$5:$A$9,0))*$M36*$J36*Règles!$C$12,0)</f>
        <v>45</v>
      </c>
      <c r="G36" s="4" t="n">
        <f aca="false">ROUND(INDEX(Règles!$C$5:$C$9,MATCH($D36,Règles!$A$5:$A$9,0))*$M36*$K36,0)</f>
        <v>6</v>
      </c>
      <c r="H36" s="4" t="n">
        <f aca="false">ROUND(INDEX(Règles!$C$5:$C$9,MATCH($D36,Règles!$A$5:$A$9,0))*$M36*$L36,0)</f>
        <v>15</v>
      </c>
      <c r="I36" s="28" t="n">
        <f aca="false">F36/Règles!$C$12+G36+H36</f>
        <v>30</v>
      </c>
      <c r="J36" s="29" t="n">
        <v>0.307</v>
      </c>
      <c r="K36" s="29" t="n">
        <v>0.195</v>
      </c>
      <c r="L36" s="29" t="n">
        <v>0.498</v>
      </c>
      <c r="M36" s="30" t="n">
        <v>0.975</v>
      </c>
    </row>
    <row r="37" customFormat="false" ht="15" hidden="false" customHeight="true" outlineLevel="0" collapsed="false">
      <c r="A37" s="3" t="n">
        <v>36</v>
      </c>
      <c r="B37" s="4" t="s">
        <v>269</v>
      </c>
      <c r="C37" s="4" t="s">
        <v>9</v>
      </c>
      <c r="D37" s="10" t="s">
        <v>199</v>
      </c>
      <c r="E37" s="4" t="s">
        <v>341</v>
      </c>
      <c r="F37" s="4" t="n">
        <f aca="false">ROUND(INDEX(Règles!$C$5:$C$9,MATCH($D37,Règles!$A$5:$A$9,0))*$M37*$J37*Règles!$C$12,0)</f>
        <v>85</v>
      </c>
      <c r="G37" s="4" t="n">
        <f aca="false">ROUND(INDEX(Règles!$C$5:$C$9,MATCH($D37,Règles!$A$5:$A$9,0))*$M37*$K37,0)</f>
        <v>7</v>
      </c>
      <c r="H37" s="4" t="n">
        <f aca="false">ROUND(INDEX(Règles!$C$5:$C$9,MATCH($D37,Règles!$A$5:$A$9,0))*$M37*$L37,0)</f>
        <v>6</v>
      </c>
      <c r="I37" s="28" t="n">
        <f aca="false">F37/Règles!$C$12+G37+H37</f>
        <v>30</v>
      </c>
      <c r="J37" s="29" t="n">
        <v>0.571</v>
      </c>
      <c r="K37" s="29" t="n">
        <v>0.227</v>
      </c>
      <c r="L37" s="29" t="n">
        <v>0.202</v>
      </c>
      <c r="M37" s="30" t="n">
        <v>0.989</v>
      </c>
    </row>
    <row r="38" customFormat="false" ht="15" hidden="false" customHeight="true" outlineLevel="0" collapsed="false">
      <c r="A38" s="3" t="n">
        <v>37</v>
      </c>
      <c r="B38" s="4" t="s">
        <v>268</v>
      </c>
      <c r="C38" s="4" t="s">
        <v>9</v>
      </c>
      <c r="D38" s="10" t="s">
        <v>199</v>
      </c>
      <c r="E38" s="4" t="s">
        <v>338</v>
      </c>
      <c r="F38" s="4" t="n">
        <f aca="false">ROUND(INDEX(Règles!$C$5:$C$9,MATCH($D38,Règles!$A$5:$A$9,0))*$M38*$J38*Règles!$C$12,0)</f>
        <v>54</v>
      </c>
      <c r="G38" s="4" t="n">
        <f aca="false">ROUND(INDEX(Règles!$C$5:$C$9,MATCH($D38,Règles!$A$5:$A$9,0))*$M38*$K38,0)</f>
        <v>10</v>
      </c>
      <c r="H38" s="4" t="n">
        <f aca="false">ROUND(INDEX(Règles!$C$5:$C$9,MATCH($D38,Règles!$A$5:$A$9,0))*$M38*$L38,0)</f>
        <v>10</v>
      </c>
      <c r="I38" s="28" t="n">
        <f aca="false">F38/Règles!$C$12+G38+H38</f>
        <v>30.8</v>
      </c>
      <c r="J38" s="29" t="n">
        <v>0.359</v>
      </c>
      <c r="K38" s="29" t="n">
        <v>0.317</v>
      </c>
      <c r="L38" s="29" t="n">
        <v>0.324</v>
      </c>
      <c r="M38" s="30" t="n">
        <v>1</v>
      </c>
    </row>
    <row r="39" customFormat="false" ht="15" hidden="false" customHeight="true" outlineLevel="0" collapsed="false">
      <c r="A39" s="3" t="n">
        <v>38</v>
      </c>
      <c r="B39" s="4" t="s">
        <v>248</v>
      </c>
      <c r="C39" s="4" t="s">
        <v>9</v>
      </c>
      <c r="D39" s="10" t="s">
        <v>199</v>
      </c>
      <c r="E39" s="4" t="s">
        <v>339</v>
      </c>
      <c r="F39" s="4" t="n">
        <f aca="false">ROUND(INDEX(Règles!$C$5:$C$9,MATCH($D39,Règles!$A$5:$A$9,0))*$M39*$J39*Règles!$C$12,0)</f>
        <v>36</v>
      </c>
      <c r="G39" s="4" t="n">
        <f aca="false">ROUND(INDEX(Règles!$C$5:$C$9,MATCH($D39,Règles!$A$5:$A$9,0))*$M39*$K39,0)</f>
        <v>16</v>
      </c>
      <c r="H39" s="4" t="n">
        <f aca="false">ROUND(INDEX(Règles!$C$5:$C$9,MATCH($D39,Règles!$A$5:$A$9,0))*$M39*$L39,0)</f>
        <v>8</v>
      </c>
      <c r="I39" s="28" t="n">
        <f aca="false">F39/Règles!$C$12+G39+H39</f>
        <v>31.2</v>
      </c>
      <c r="J39" s="29" t="n">
        <v>0.233</v>
      </c>
      <c r="K39" s="29" t="n">
        <v>0.51</v>
      </c>
      <c r="L39" s="29" t="n">
        <v>0.257</v>
      </c>
      <c r="M39" s="30" t="n">
        <v>1.021</v>
      </c>
    </row>
    <row r="40" customFormat="false" ht="15" hidden="false" customHeight="true" outlineLevel="0" collapsed="false">
      <c r="A40" s="3" t="n">
        <v>39</v>
      </c>
      <c r="B40" s="4" t="s">
        <v>240</v>
      </c>
      <c r="C40" s="4" t="s">
        <v>9</v>
      </c>
      <c r="D40" s="10" t="s">
        <v>199</v>
      </c>
      <c r="E40" s="4" t="s">
        <v>340</v>
      </c>
      <c r="F40" s="4" t="n">
        <f aca="false">ROUND(INDEX(Règles!$C$5:$C$9,MATCH($D40,Règles!$A$5:$A$9,0))*$M40*$J40*Règles!$C$12,0)</f>
        <v>44</v>
      </c>
      <c r="G40" s="4" t="n">
        <f aca="false">ROUND(INDEX(Règles!$C$5:$C$9,MATCH($D40,Règles!$A$5:$A$9,0))*$M40*$K40,0)</f>
        <v>5</v>
      </c>
      <c r="H40" s="4" t="n">
        <f aca="false">ROUND(INDEX(Règles!$C$5:$C$9,MATCH($D40,Règles!$A$5:$A$9,0))*$M40*$L40,0)</f>
        <v>15</v>
      </c>
      <c r="I40" s="28" t="n">
        <f aca="false">F40/Règles!$C$12+G40+H40</f>
        <v>28.8</v>
      </c>
      <c r="J40" s="29" t="n">
        <v>0.296</v>
      </c>
      <c r="K40" s="29" t="n">
        <v>0.182</v>
      </c>
      <c r="L40" s="29" t="n">
        <v>0.522</v>
      </c>
      <c r="M40" s="30" t="n">
        <v>0.983</v>
      </c>
    </row>
    <row r="41" customFormat="false" ht="15" hidden="false" customHeight="true" outlineLevel="0" collapsed="false">
      <c r="A41" s="3" t="n">
        <v>40</v>
      </c>
      <c r="B41" s="4" t="s">
        <v>315</v>
      </c>
      <c r="C41" s="4" t="s">
        <v>23</v>
      </c>
      <c r="D41" s="10" t="s">
        <v>199</v>
      </c>
      <c r="E41" s="4" t="s">
        <v>341</v>
      </c>
      <c r="F41" s="4" t="n">
        <f aca="false">ROUND(INDEX(Règles!$C$5:$C$9,MATCH($D41,Règles!$A$5:$A$9,0))*$M41*$J41*Règles!$C$12,0)</f>
        <v>82</v>
      </c>
      <c r="G41" s="4" t="n">
        <f aca="false">ROUND(INDEX(Règles!$C$5:$C$9,MATCH($D41,Règles!$A$5:$A$9,0))*$M41*$K41,0)</f>
        <v>7</v>
      </c>
      <c r="H41" s="4" t="n">
        <f aca="false">ROUND(INDEX(Règles!$C$5:$C$9,MATCH($D41,Règles!$A$5:$A$9,0))*$M41*$L41,0)</f>
        <v>6</v>
      </c>
      <c r="I41" s="28" t="n">
        <f aca="false">F41/Règles!$C$12+G41+H41</f>
        <v>29.4</v>
      </c>
      <c r="J41" s="29" t="n">
        <v>0.551</v>
      </c>
      <c r="K41" s="29" t="n">
        <v>0.236</v>
      </c>
      <c r="L41" s="29" t="n">
        <v>0.213</v>
      </c>
      <c r="M41" s="30" t="n">
        <v>0.995</v>
      </c>
    </row>
    <row r="42" customFormat="false" ht="15" hidden="false" customHeight="true" outlineLevel="0" collapsed="false">
      <c r="A42" s="3" t="n">
        <v>41</v>
      </c>
      <c r="B42" s="4" t="s">
        <v>281</v>
      </c>
      <c r="C42" s="4" t="s">
        <v>23</v>
      </c>
      <c r="D42" s="10" t="s">
        <v>199</v>
      </c>
      <c r="E42" s="4" t="s">
        <v>338</v>
      </c>
      <c r="F42" s="4" t="n">
        <f aca="false">ROUND(INDEX(Règles!$C$5:$C$9,MATCH($D42,Règles!$A$5:$A$9,0))*$M42*$J42*Règles!$C$12,0)</f>
        <v>55</v>
      </c>
      <c r="G42" s="4" t="n">
        <f aca="false">ROUND(INDEX(Règles!$C$5:$C$9,MATCH($D42,Règles!$A$5:$A$9,0))*$M42*$K42,0)</f>
        <v>10</v>
      </c>
      <c r="H42" s="4" t="n">
        <f aca="false">ROUND(INDEX(Règles!$C$5:$C$9,MATCH($D42,Règles!$A$5:$A$9,0))*$M42*$L42,0)</f>
        <v>10</v>
      </c>
      <c r="I42" s="28" t="n">
        <f aca="false">F42/Règles!$C$12+G42+H42</f>
        <v>31</v>
      </c>
      <c r="J42" s="29" t="n">
        <v>0.362</v>
      </c>
      <c r="K42" s="29" t="n">
        <v>0.326</v>
      </c>
      <c r="L42" s="29" t="n">
        <v>0.312</v>
      </c>
      <c r="M42" s="30" t="n">
        <v>1.015</v>
      </c>
    </row>
    <row r="43" customFormat="false" ht="15" hidden="false" customHeight="true" outlineLevel="0" collapsed="false">
      <c r="A43" s="3" t="n">
        <v>42</v>
      </c>
      <c r="B43" s="4" t="s">
        <v>270</v>
      </c>
      <c r="C43" s="4" t="s">
        <v>9</v>
      </c>
      <c r="D43" s="10" t="s">
        <v>199</v>
      </c>
      <c r="E43" s="4" t="s">
        <v>339</v>
      </c>
      <c r="F43" s="4" t="n">
        <f aca="false">ROUND(INDEX(Règles!$C$5:$C$9,MATCH($D43,Règles!$A$5:$A$9,0))*$M43*$J43*Règles!$C$12,0)</f>
        <v>41</v>
      </c>
      <c r="G43" s="4" t="n">
        <f aca="false">ROUND(INDEX(Règles!$C$5:$C$9,MATCH($D43,Règles!$A$5:$A$9,0))*$M43*$K43,0)</f>
        <v>15</v>
      </c>
      <c r="H43" s="4" t="n">
        <f aca="false">ROUND(INDEX(Règles!$C$5:$C$9,MATCH($D43,Règles!$A$5:$A$9,0))*$M43*$L43,0)</f>
        <v>7</v>
      </c>
      <c r="I43" s="28" t="n">
        <f aca="false">F43/Règles!$C$12+G43+H43</f>
        <v>30.2</v>
      </c>
      <c r="J43" s="29" t="n">
        <v>0.267</v>
      </c>
      <c r="K43" s="29" t="n">
        <v>0.491</v>
      </c>
      <c r="L43" s="29" t="n">
        <v>0.242</v>
      </c>
      <c r="M43" s="30" t="n">
        <v>1.02</v>
      </c>
    </row>
    <row r="44" customFormat="false" ht="15" hidden="false" customHeight="true" outlineLevel="0" collapsed="false">
      <c r="A44" s="3" t="n">
        <v>43</v>
      </c>
      <c r="B44" s="4" t="s">
        <v>263</v>
      </c>
      <c r="C44" s="4" t="s">
        <v>9</v>
      </c>
      <c r="D44" s="10" t="s">
        <v>199</v>
      </c>
      <c r="E44" s="4" t="s">
        <v>340</v>
      </c>
      <c r="F44" s="4" t="n">
        <f aca="false">ROUND(INDEX(Règles!$C$5:$C$9,MATCH($D44,Règles!$A$5:$A$9,0))*$M44*$J44*Règles!$C$12,0)</f>
        <v>42</v>
      </c>
      <c r="G44" s="4" t="n">
        <f aca="false">ROUND(INDEX(Règles!$C$5:$C$9,MATCH($D44,Règles!$A$5:$A$9,0))*$M44*$K44,0)</f>
        <v>6</v>
      </c>
      <c r="H44" s="4" t="n">
        <f aca="false">ROUND(INDEX(Règles!$C$5:$C$9,MATCH($D44,Règles!$A$5:$A$9,0))*$M44*$L44,0)</f>
        <v>15</v>
      </c>
      <c r="I44" s="28" t="n">
        <f aca="false">F44/Règles!$C$12+G44+H44</f>
        <v>29.4</v>
      </c>
      <c r="J44" s="29" t="n">
        <v>0.287</v>
      </c>
      <c r="K44" s="29" t="n">
        <v>0.219</v>
      </c>
      <c r="L44" s="29" t="n">
        <v>0.494</v>
      </c>
      <c r="M44" s="30" t="n">
        <v>0.979</v>
      </c>
    </row>
    <row r="45" customFormat="false" ht="15" hidden="false" customHeight="true" outlineLevel="0" collapsed="false">
      <c r="A45" s="3" t="n">
        <v>44</v>
      </c>
      <c r="B45" s="4" t="s">
        <v>231</v>
      </c>
      <c r="C45" s="4" t="s">
        <v>9</v>
      </c>
      <c r="D45" s="10" t="s">
        <v>199</v>
      </c>
      <c r="E45" s="4" t="s">
        <v>341</v>
      </c>
      <c r="F45" s="4" t="n">
        <f aca="false">ROUND(INDEX(Règles!$C$5:$C$9,MATCH($D45,Règles!$A$5:$A$9,0))*$M45*$J45*Règles!$C$12,0)</f>
        <v>82</v>
      </c>
      <c r="G45" s="4" t="n">
        <f aca="false">ROUND(INDEX(Règles!$C$5:$C$9,MATCH($D45,Règles!$A$5:$A$9,0))*$M45*$K45,0)</f>
        <v>7</v>
      </c>
      <c r="H45" s="4" t="n">
        <f aca="false">ROUND(INDEX(Règles!$C$5:$C$9,MATCH($D45,Règles!$A$5:$A$9,0))*$M45*$L45,0)</f>
        <v>7</v>
      </c>
      <c r="I45" s="28" t="n">
        <f aca="false">F45/Règles!$C$12+G45+H45</f>
        <v>30.4</v>
      </c>
      <c r="J45" s="29" t="n">
        <v>0.547</v>
      </c>
      <c r="K45" s="29" t="n">
        <v>0.229</v>
      </c>
      <c r="L45" s="29" t="n">
        <v>0.224</v>
      </c>
      <c r="M45" s="30" t="n">
        <v>1.004</v>
      </c>
    </row>
    <row r="46" customFormat="false" ht="15" hidden="false" customHeight="true" outlineLevel="0" collapsed="false">
      <c r="A46" s="3" t="n">
        <v>45</v>
      </c>
      <c r="B46" s="4" t="s">
        <v>276</v>
      </c>
      <c r="C46" s="4" t="s">
        <v>9</v>
      </c>
      <c r="D46" s="10" t="s">
        <v>199</v>
      </c>
      <c r="E46" s="4" t="s">
        <v>338</v>
      </c>
      <c r="F46" s="4" t="n">
        <f aca="false">ROUND(INDEX(Règles!$C$5:$C$9,MATCH($D46,Règles!$A$5:$A$9,0))*$M46*$J46*Règles!$C$12,0)</f>
        <v>49</v>
      </c>
      <c r="G46" s="4" t="n">
        <f aca="false">ROUND(INDEX(Règles!$C$5:$C$9,MATCH($D46,Règles!$A$5:$A$9,0))*$M46*$K46,0)</f>
        <v>10</v>
      </c>
      <c r="H46" s="4" t="n">
        <f aca="false">ROUND(INDEX(Règles!$C$5:$C$9,MATCH($D46,Règles!$A$5:$A$9,0))*$M46*$L46,0)</f>
        <v>10</v>
      </c>
      <c r="I46" s="28" t="n">
        <f aca="false">F46/Règles!$C$12+G46+H46</f>
        <v>29.8</v>
      </c>
      <c r="J46" s="29" t="n">
        <v>0.33</v>
      </c>
      <c r="K46" s="29" t="n">
        <v>0.33</v>
      </c>
      <c r="L46" s="29" t="n">
        <v>0.34</v>
      </c>
      <c r="M46" s="30" t="n">
        <v>0.994</v>
      </c>
    </row>
    <row r="47" customFormat="false" ht="15" hidden="false" customHeight="true" outlineLevel="0" collapsed="false">
      <c r="A47" s="3" t="n">
        <v>46</v>
      </c>
      <c r="B47" s="4" t="s">
        <v>235</v>
      </c>
      <c r="C47" s="4" t="s">
        <v>9</v>
      </c>
      <c r="D47" s="10" t="s">
        <v>199</v>
      </c>
      <c r="E47" s="4" t="s">
        <v>339</v>
      </c>
      <c r="F47" s="4" t="n">
        <f aca="false">ROUND(INDEX(Règles!$C$5:$C$9,MATCH($D47,Règles!$A$5:$A$9,0))*$M47*$J47*Règles!$C$12,0)</f>
        <v>33</v>
      </c>
      <c r="G47" s="4" t="n">
        <f aca="false">ROUND(INDEX(Règles!$C$5:$C$9,MATCH($D47,Règles!$A$5:$A$9,0))*$M47*$K47,0)</f>
        <v>15</v>
      </c>
      <c r="H47" s="4" t="n">
        <f aca="false">ROUND(INDEX(Règles!$C$5:$C$9,MATCH($D47,Règles!$A$5:$A$9,0))*$M47*$L47,0)</f>
        <v>8</v>
      </c>
      <c r="I47" s="28" t="n">
        <f aca="false">F47/Règles!$C$12+G47+H47</f>
        <v>29.6</v>
      </c>
      <c r="J47" s="29" t="n">
        <v>0.222</v>
      </c>
      <c r="K47" s="29" t="n">
        <v>0.516</v>
      </c>
      <c r="L47" s="29" t="n">
        <v>0.262</v>
      </c>
      <c r="M47" s="30" t="n">
        <v>0.99</v>
      </c>
    </row>
    <row r="48" customFormat="false" ht="15" hidden="false" customHeight="true" outlineLevel="0" collapsed="false">
      <c r="A48" s="3" t="n">
        <v>47</v>
      </c>
      <c r="B48" s="4" t="s">
        <v>286</v>
      </c>
      <c r="C48" s="4" t="s">
        <v>23</v>
      </c>
      <c r="D48" s="10" t="s">
        <v>199</v>
      </c>
      <c r="E48" s="4" t="s">
        <v>340</v>
      </c>
      <c r="F48" s="4" t="n">
        <f aca="false">ROUND(INDEX(Règles!$C$5:$C$9,MATCH($D48,Règles!$A$5:$A$9,0))*$M48*$J48*Règles!$C$12,0)</f>
        <v>45</v>
      </c>
      <c r="G48" s="4" t="n">
        <f aca="false">ROUND(INDEX(Règles!$C$5:$C$9,MATCH($D48,Règles!$A$5:$A$9,0))*$M48*$K48,0)</f>
        <v>6</v>
      </c>
      <c r="H48" s="4" t="n">
        <f aca="false">ROUND(INDEX(Règles!$C$5:$C$9,MATCH($D48,Règles!$A$5:$A$9,0))*$M48*$L48,0)</f>
        <v>15</v>
      </c>
      <c r="I48" s="28" t="n">
        <f aca="false">F48/Règles!$C$12+G48+H48</f>
        <v>30</v>
      </c>
      <c r="J48" s="29" t="n">
        <v>0.293</v>
      </c>
      <c r="K48" s="29" t="n">
        <v>0.212</v>
      </c>
      <c r="L48" s="29" t="n">
        <v>0.495</v>
      </c>
      <c r="M48" s="30" t="n">
        <v>1.021</v>
      </c>
    </row>
    <row r="49" customFormat="false" ht="15" hidden="false" customHeight="true" outlineLevel="0" collapsed="false">
      <c r="A49" s="3" t="n">
        <v>48</v>
      </c>
      <c r="B49" s="4" t="s">
        <v>247</v>
      </c>
      <c r="C49" s="4" t="s">
        <v>9</v>
      </c>
      <c r="D49" s="10" t="s">
        <v>199</v>
      </c>
      <c r="E49" s="4" t="s">
        <v>341</v>
      </c>
      <c r="F49" s="4" t="n">
        <f aca="false">ROUND(INDEX(Règles!$C$5:$C$9,MATCH($D49,Règles!$A$5:$A$9,0))*$M49*$J49*Règles!$C$12,0)</f>
        <v>82</v>
      </c>
      <c r="G49" s="4" t="n">
        <f aca="false">ROUND(INDEX(Règles!$C$5:$C$9,MATCH($D49,Règles!$A$5:$A$9,0))*$M49*$K49,0)</f>
        <v>7</v>
      </c>
      <c r="H49" s="4" t="n">
        <f aca="false">ROUND(INDEX(Règles!$C$5:$C$9,MATCH($D49,Règles!$A$5:$A$9,0))*$M49*$L49,0)</f>
        <v>6</v>
      </c>
      <c r="I49" s="28" t="n">
        <f aca="false">F49/Règles!$C$12+G49+H49</f>
        <v>29.4</v>
      </c>
      <c r="J49" s="29" t="n">
        <v>0.555</v>
      </c>
      <c r="K49" s="29" t="n">
        <v>0.25</v>
      </c>
      <c r="L49" s="29" t="n">
        <v>0.195</v>
      </c>
      <c r="M49" s="30" t="n">
        <v>0.983</v>
      </c>
    </row>
    <row r="50" customFormat="false" ht="15" hidden="false" customHeight="true" outlineLevel="0" collapsed="false">
      <c r="A50" s="3" t="n">
        <v>49</v>
      </c>
      <c r="B50" s="4" t="s">
        <v>238</v>
      </c>
      <c r="C50" s="4" t="s">
        <v>9</v>
      </c>
      <c r="D50" s="10" t="s">
        <v>199</v>
      </c>
      <c r="E50" s="4" t="s">
        <v>338</v>
      </c>
      <c r="F50" s="4" t="n">
        <f aca="false">ROUND(INDEX(Règles!$C$5:$C$9,MATCH($D50,Règles!$A$5:$A$9,0))*$M50*$J50*Règles!$C$12,0)</f>
        <v>50</v>
      </c>
      <c r="G50" s="4" t="n">
        <f aca="false">ROUND(INDEX(Règles!$C$5:$C$9,MATCH($D50,Règles!$A$5:$A$9,0))*$M50*$K50,0)</f>
        <v>10</v>
      </c>
      <c r="H50" s="4" t="n">
        <f aca="false">ROUND(INDEX(Règles!$C$5:$C$9,MATCH($D50,Règles!$A$5:$A$9,0))*$M50*$L50,0)</f>
        <v>11</v>
      </c>
      <c r="I50" s="28" t="n">
        <f aca="false">F50/Règles!$C$12+G50+H50</f>
        <v>31</v>
      </c>
      <c r="J50" s="29" t="n">
        <v>0.329</v>
      </c>
      <c r="K50" s="29" t="n">
        <v>0.318</v>
      </c>
      <c r="L50" s="29" t="n">
        <v>0.353</v>
      </c>
      <c r="M50" s="30" t="n">
        <v>1.013</v>
      </c>
    </row>
    <row r="51" customFormat="false" ht="15" hidden="false" customHeight="true" outlineLevel="0" collapsed="false">
      <c r="A51" s="3" t="n">
        <v>50</v>
      </c>
      <c r="B51" s="4" t="s">
        <v>227</v>
      </c>
      <c r="C51" s="4" t="s">
        <v>9</v>
      </c>
      <c r="D51" s="10" t="s">
        <v>199</v>
      </c>
      <c r="E51" s="4" t="s">
        <v>339</v>
      </c>
      <c r="F51" s="4" t="n">
        <f aca="false">ROUND(INDEX(Règles!$C$5:$C$9,MATCH($D51,Règles!$A$5:$A$9,0))*$M51*$J51*Règles!$C$12,0)</f>
        <v>34</v>
      </c>
      <c r="G51" s="4" t="n">
        <f aca="false">ROUND(INDEX(Règles!$C$5:$C$9,MATCH($D51,Règles!$A$5:$A$9,0))*$M51*$K51,0)</f>
        <v>16</v>
      </c>
      <c r="H51" s="4" t="n">
        <f aca="false">ROUND(INDEX(Règles!$C$5:$C$9,MATCH($D51,Règles!$A$5:$A$9,0))*$M51*$L51,0)</f>
        <v>7</v>
      </c>
      <c r="I51" s="28" t="n">
        <f aca="false">F51/Règles!$C$12+G51+H51</f>
        <v>29.8</v>
      </c>
      <c r="J51" s="29" t="n">
        <v>0.23</v>
      </c>
      <c r="K51" s="29" t="n">
        <v>0.525</v>
      </c>
      <c r="L51" s="29" t="n">
        <v>0.245</v>
      </c>
      <c r="M51" s="30" t="n">
        <v>0.99</v>
      </c>
    </row>
    <row r="52" customFormat="false" ht="15" hidden="false" customHeight="true" outlineLevel="0" collapsed="false">
      <c r="A52" s="3" t="n">
        <v>51</v>
      </c>
      <c r="B52" s="4" t="s">
        <v>234</v>
      </c>
      <c r="C52" s="4" t="s">
        <v>9</v>
      </c>
      <c r="D52" s="10" t="s">
        <v>199</v>
      </c>
      <c r="E52" s="4" t="s">
        <v>340</v>
      </c>
      <c r="F52" s="4" t="n">
        <f aca="false">ROUND(INDEX(Règles!$C$5:$C$9,MATCH($D52,Règles!$A$5:$A$9,0))*$M52*$J52*Règles!$C$12,0)</f>
        <v>45</v>
      </c>
      <c r="G52" s="4" t="n">
        <f aca="false">ROUND(INDEX(Règles!$C$5:$C$9,MATCH($D52,Règles!$A$5:$A$9,0))*$M52*$K52,0)</f>
        <v>6</v>
      </c>
      <c r="H52" s="4" t="n">
        <f aca="false">ROUND(INDEX(Règles!$C$5:$C$9,MATCH($D52,Règles!$A$5:$A$9,0))*$M52*$L52,0)</f>
        <v>15</v>
      </c>
      <c r="I52" s="28" t="n">
        <f aca="false">F52/Règles!$C$12+G52+H52</f>
        <v>30</v>
      </c>
      <c r="J52" s="29" t="n">
        <v>0.303</v>
      </c>
      <c r="K52" s="29" t="n">
        <v>0.191</v>
      </c>
      <c r="L52" s="29" t="n">
        <v>0.506</v>
      </c>
      <c r="M52" s="30" t="n">
        <v>0.999</v>
      </c>
    </row>
    <row r="53" customFormat="false" ht="15" hidden="false" customHeight="true" outlineLevel="0" collapsed="false">
      <c r="A53" s="3" t="n">
        <v>52</v>
      </c>
      <c r="B53" s="4" t="s">
        <v>298</v>
      </c>
      <c r="C53" s="4" t="s">
        <v>23</v>
      </c>
      <c r="D53" s="10" t="s">
        <v>199</v>
      </c>
      <c r="E53" s="4" t="s">
        <v>341</v>
      </c>
      <c r="F53" s="4" t="n">
        <f aca="false">ROUND(INDEX(Règles!$C$5:$C$9,MATCH($D53,Règles!$A$5:$A$9,0))*$M53*$J53*Règles!$C$12,0)</f>
        <v>86</v>
      </c>
      <c r="G53" s="4" t="n">
        <f aca="false">ROUND(INDEX(Règles!$C$5:$C$9,MATCH($D53,Règles!$A$5:$A$9,0))*$M53*$K53,0)</f>
        <v>7</v>
      </c>
      <c r="H53" s="4" t="n">
        <f aca="false">ROUND(INDEX(Règles!$C$5:$C$9,MATCH($D53,Règles!$A$5:$A$9,0))*$M53*$L53,0)</f>
        <v>5</v>
      </c>
      <c r="I53" s="28" t="n">
        <f aca="false">F53/Règles!$C$12+G53+H53</f>
        <v>29.2</v>
      </c>
      <c r="J53" s="29" t="n">
        <v>0.582</v>
      </c>
      <c r="K53" s="29" t="n">
        <v>0.244</v>
      </c>
      <c r="L53" s="29" t="n">
        <v>0.174</v>
      </c>
      <c r="M53" s="30" t="n">
        <v>0.983</v>
      </c>
    </row>
    <row r="54" customFormat="false" ht="15" hidden="false" customHeight="true" outlineLevel="0" collapsed="false">
      <c r="A54" s="3" t="n">
        <v>53</v>
      </c>
      <c r="B54" s="4" t="s">
        <v>287</v>
      </c>
      <c r="C54" s="4" t="s">
        <v>23</v>
      </c>
      <c r="D54" s="10" t="s">
        <v>199</v>
      </c>
      <c r="E54" s="4" t="s">
        <v>338</v>
      </c>
      <c r="F54" s="4" t="n">
        <f aca="false">ROUND(INDEX(Règles!$C$5:$C$9,MATCH($D54,Règles!$A$5:$A$9,0))*$M54*$J54*Règles!$C$12,0)</f>
        <v>47</v>
      </c>
      <c r="G54" s="4" t="n">
        <f aca="false">ROUND(INDEX(Règles!$C$5:$C$9,MATCH($D54,Règles!$A$5:$A$9,0))*$M54*$K54,0)</f>
        <v>10</v>
      </c>
      <c r="H54" s="4" t="n">
        <f aca="false">ROUND(INDEX(Règles!$C$5:$C$9,MATCH($D54,Règles!$A$5:$A$9,0))*$M54*$L54,0)</f>
        <v>9</v>
      </c>
      <c r="I54" s="28" t="n">
        <f aca="false">F54/Règles!$C$12+G54+H54</f>
        <v>28.4</v>
      </c>
      <c r="J54" s="29" t="n">
        <v>0.322</v>
      </c>
      <c r="K54" s="29" t="n">
        <v>0.357</v>
      </c>
      <c r="L54" s="29" t="n">
        <v>0.321</v>
      </c>
      <c r="M54" s="30" t="n">
        <v>0.971</v>
      </c>
    </row>
    <row r="55" customFormat="false" ht="15" hidden="false" customHeight="true" outlineLevel="0" collapsed="false">
      <c r="A55" s="3" t="n">
        <v>54</v>
      </c>
      <c r="B55" s="4" t="s">
        <v>266</v>
      </c>
      <c r="C55" s="4" t="s">
        <v>9</v>
      </c>
      <c r="D55" s="10" t="s">
        <v>199</v>
      </c>
      <c r="E55" s="4" t="s">
        <v>339</v>
      </c>
      <c r="F55" s="4" t="n">
        <f aca="false">ROUND(INDEX(Règles!$C$5:$C$9,MATCH($D55,Règles!$A$5:$A$9,0))*$M55*$J55*Règles!$C$12,0)</f>
        <v>36</v>
      </c>
      <c r="G55" s="4" t="n">
        <f aca="false">ROUND(INDEX(Règles!$C$5:$C$9,MATCH($D55,Règles!$A$5:$A$9,0))*$M55*$K55,0)</f>
        <v>16</v>
      </c>
      <c r="H55" s="4" t="n">
        <f aca="false">ROUND(INDEX(Règles!$C$5:$C$9,MATCH($D55,Règles!$A$5:$A$9,0))*$M55*$L55,0)</f>
        <v>7</v>
      </c>
      <c r="I55" s="28" t="n">
        <f aca="false">F55/Règles!$C$12+G55+H55</f>
        <v>30.2</v>
      </c>
      <c r="J55" s="29" t="n">
        <v>0.241</v>
      </c>
      <c r="K55" s="29" t="n">
        <v>0.515</v>
      </c>
      <c r="L55" s="29" t="n">
        <v>0.244</v>
      </c>
      <c r="M55" s="30" t="n">
        <v>1.008</v>
      </c>
    </row>
    <row r="56" customFormat="false" ht="15" hidden="false" customHeight="true" outlineLevel="0" collapsed="false">
      <c r="A56" s="3" t="n">
        <v>55</v>
      </c>
      <c r="B56" s="4" t="s">
        <v>221</v>
      </c>
      <c r="C56" s="4" t="s">
        <v>9</v>
      </c>
      <c r="D56" s="10" t="s">
        <v>199</v>
      </c>
      <c r="E56" s="4" t="s">
        <v>340</v>
      </c>
      <c r="F56" s="4" t="n">
        <f aca="false">ROUND(INDEX(Règles!$C$5:$C$9,MATCH($D56,Règles!$A$5:$A$9,0))*$M56*$J56*Règles!$C$12,0)</f>
        <v>40</v>
      </c>
      <c r="G56" s="4" t="n">
        <f aca="false">ROUND(INDEX(Règles!$C$5:$C$9,MATCH($D56,Règles!$A$5:$A$9,0))*$M56*$K56,0)</f>
        <v>6</v>
      </c>
      <c r="H56" s="4" t="n">
        <f aca="false">ROUND(INDEX(Règles!$C$5:$C$9,MATCH($D56,Règles!$A$5:$A$9,0))*$M56*$L56,0)</f>
        <v>15</v>
      </c>
      <c r="I56" s="28" t="n">
        <f aca="false">F56/Règles!$C$12+G56+H56</f>
        <v>29</v>
      </c>
      <c r="J56" s="29" t="n">
        <v>0.278</v>
      </c>
      <c r="K56" s="29" t="n">
        <v>0.214</v>
      </c>
      <c r="L56" s="29" t="n">
        <v>0.508</v>
      </c>
      <c r="M56" s="30" t="n">
        <v>0.971</v>
      </c>
    </row>
    <row r="57" customFormat="false" ht="15" hidden="false" customHeight="true" outlineLevel="0" collapsed="false">
      <c r="A57" s="3" t="n">
        <v>56</v>
      </c>
      <c r="B57" s="4" t="s">
        <v>198</v>
      </c>
      <c r="C57" s="4" t="s">
        <v>9</v>
      </c>
      <c r="D57" s="10" t="s">
        <v>199</v>
      </c>
      <c r="E57" s="4" t="s">
        <v>341</v>
      </c>
      <c r="F57" s="4" t="n">
        <f aca="false">ROUND(INDEX(Règles!$C$5:$C$9,MATCH($D57,Règles!$A$5:$A$9,0))*$M57*$J57*Règles!$C$12,0)</f>
        <v>83</v>
      </c>
      <c r="G57" s="4" t="n">
        <f aca="false">ROUND(INDEX(Règles!$C$5:$C$9,MATCH($D57,Règles!$A$5:$A$9,0))*$M57*$K57,0)</f>
        <v>8</v>
      </c>
      <c r="H57" s="4" t="n">
        <f aca="false">ROUND(INDEX(Règles!$C$5:$C$9,MATCH($D57,Règles!$A$5:$A$9,0))*$M57*$L57,0)</f>
        <v>6</v>
      </c>
      <c r="I57" s="28" t="n">
        <f aca="false">F57/Règles!$C$12+G57+H57</f>
        <v>30.6</v>
      </c>
      <c r="J57" s="29" t="n">
        <v>0.554</v>
      </c>
      <c r="K57" s="29" t="n">
        <v>0.253</v>
      </c>
      <c r="L57" s="29" t="n">
        <v>0.193</v>
      </c>
      <c r="M57" s="30" t="n">
        <v>0.998</v>
      </c>
    </row>
    <row r="58" customFormat="false" ht="15" hidden="false" customHeight="true" outlineLevel="0" collapsed="false">
      <c r="A58" s="3" t="n">
        <v>57</v>
      </c>
      <c r="B58" s="4" t="s">
        <v>265</v>
      </c>
      <c r="C58" s="4" t="s">
        <v>9</v>
      </c>
      <c r="D58" s="10" t="s">
        <v>199</v>
      </c>
      <c r="E58" s="4" t="s">
        <v>338</v>
      </c>
      <c r="F58" s="4" t="n">
        <f aca="false">ROUND(INDEX(Règles!$C$5:$C$9,MATCH($D58,Règles!$A$5:$A$9,0))*$M58*$J58*Règles!$C$12,0)</f>
        <v>53</v>
      </c>
      <c r="G58" s="4" t="n">
        <f aca="false">ROUND(INDEX(Règles!$C$5:$C$9,MATCH($D58,Règles!$A$5:$A$9,0))*$M58*$K58,0)</f>
        <v>10</v>
      </c>
      <c r="H58" s="4" t="n">
        <f aca="false">ROUND(INDEX(Règles!$C$5:$C$9,MATCH($D58,Règles!$A$5:$A$9,0))*$M58*$L58,0)</f>
        <v>10</v>
      </c>
      <c r="I58" s="28" t="n">
        <f aca="false">F58/Règles!$C$12+G58+H58</f>
        <v>30.6</v>
      </c>
      <c r="J58" s="29" t="n">
        <v>0.355</v>
      </c>
      <c r="K58" s="29" t="n">
        <v>0.318</v>
      </c>
      <c r="L58" s="29" t="n">
        <v>0.327</v>
      </c>
      <c r="M58" s="30" t="n">
        <v>1.004</v>
      </c>
    </row>
    <row r="59" customFormat="false" ht="15" hidden="false" customHeight="true" outlineLevel="0" collapsed="false">
      <c r="A59" s="3" t="n">
        <v>58</v>
      </c>
      <c r="B59" s="4" t="s">
        <v>211</v>
      </c>
      <c r="C59" s="4" t="s">
        <v>9</v>
      </c>
      <c r="D59" s="10" t="s">
        <v>199</v>
      </c>
      <c r="E59" s="4" t="s">
        <v>339</v>
      </c>
      <c r="F59" s="4" t="n">
        <f aca="false">ROUND(INDEX(Règles!$C$5:$C$9,MATCH($D59,Règles!$A$5:$A$9,0))*$M59*$J59*Règles!$C$12,0)</f>
        <v>37</v>
      </c>
      <c r="G59" s="4" t="n">
        <f aca="false">ROUND(INDEX(Règles!$C$5:$C$9,MATCH($D59,Règles!$A$5:$A$9,0))*$M59*$K59,0)</f>
        <v>15</v>
      </c>
      <c r="H59" s="4" t="n">
        <f aca="false">ROUND(INDEX(Règles!$C$5:$C$9,MATCH($D59,Règles!$A$5:$A$9,0))*$M59*$L59,0)</f>
        <v>7</v>
      </c>
      <c r="I59" s="28" t="n">
        <f aca="false">F59/Règles!$C$12+G59+H59</f>
        <v>29.4</v>
      </c>
      <c r="J59" s="29" t="n">
        <v>0.256</v>
      </c>
      <c r="K59" s="29" t="n">
        <v>0.497</v>
      </c>
      <c r="L59" s="29" t="n">
        <v>0.247</v>
      </c>
      <c r="M59" s="30" t="n">
        <v>0.976</v>
      </c>
    </row>
    <row r="60" customFormat="false" ht="15" hidden="false" customHeight="true" outlineLevel="0" collapsed="false">
      <c r="A60" s="3" t="n">
        <v>59</v>
      </c>
      <c r="B60" s="4" t="s">
        <v>295</v>
      </c>
      <c r="C60" s="4" t="s">
        <v>23</v>
      </c>
      <c r="D60" s="10" t="s">
        <v>199</v>
      </c>
      <c r="E60" s="4" t="s">
        <v>340</v>
      </c>
      <c r="F60" s="4" t="n">
        <f aca="false">ROUND(INDEX(Règles!$C$5:$C$9,MATCH($D60,Règles!$A$5:$A$9,0))*$M60*$J60*Règles!$C$12,0)</f>
        <v>45</v>
      </c>
      <c r="G60" s="4" t="n">
        <f aca="false">ROUND(INDEX(Règles!$C$5:$C$9,MATCH($D60,Règles!$A$5:$A$9,0))*$M60*$K60,0)</f>
        <v>6</v>
      </c>
      <c r="H60" s="4" t="n">
        <f aca="false">ROUND(INDEX(Règles!$C$5:$C$9,MATCH($D60,Règles!$A$5:$A$9,0))*$M60*$L60,0)</f>
        <v>15</v>
      </c>
      <c r="I60" s="28" t="n">
        <f aca="false">F60/Règles!$C$12+G60+H60</f>
        <v>30</v>
      </c>
      <c r="J60" s="29" t="n">
        <v>0.297</v>
      </c>
      <c r="K60" s="29" t="n">
        <v>0.203</v>
      </c>
      <c r="L60" s="29" t="n">
        <v>0.5</v>
      </c>
      <c r="M60" s="30" t="n">
        <v>1.014</v>
      </c>
    </row>
    <row r="61" customFormat="false" ht="15" hidden="false" customHeight="true" outlineLevel="0" collapsed="false">
      <c r="A61" s="3" t="n">
        <v>60</v>
      </c>
      <c r="B61" s="4" t="s">
        <v>219</v>
      </c>
      <c r="C61" s="4" t="s">
        <v>9</v>
      </c>
      <c r="D61" s="10" t="s">
        <v>199</v>
      </c>
      <c r="E61" s="4" t="s">
        <v>341</v>
      </c>
      <c r="F61" s="4" t="n">
        <f aca="false">ROUND(INDEX(Règles!$C$5:$C$9,MATCH($D61,Règles!$A$5:$A$9,0))*$M61*$J61*Règles!$C$12,0)</f>
        <v>81</v>
      </c>
      <c r="G61" s="4" t="n">
        <f aca="false">ROUND(INDEX(Règles!$C$5:$C$9,MATCH($D61,Règles!$A$5:$A$9,0))*$M61*$K61,0)</f>
        <v>8</v>
      </c>
      <c r="H61" s="4" t="n">
        <f aca="false">ROUND(INDEX(Règles!$C$5:$C$9,MATCH($D61,Règles!$A$5:$A$9,0))*$M61*$L61,0)</f>
        <v>6</v>
      </c>
      <c r="I61" s="28" t="n">
        <f aca="false">F61/Règles!$C$12+G61+H61</f>
        <v>30.2</v>
      </c>
      <c r="J61" s="29" t="n">
        <v>0.535</v>
      </c>
      <c r="K61" s="29" t="n">
        <v>0.258</v>
      </c>
      <c r="L61" s="29" t="n">
        <v>0.207</v>
      </c>
      <c r="M61" s="30" t="n">
        <v>1.009</v>
      </c>
    </row>
    <row r="62" customFormat="false" ht="15" hidden="false" customHeight="true" outlineLevel="0" collapsed="false">
      <c r="A62" s="3" t="n">
        <v>61</v>
      </c>
      <c r="B62" s="4" t="s">
        <v>223</v>
      </c>
      <c r="C62" s="4" t="s">
        <v>9</v>
      </c>
      <c r="D62" s="10" t="s">
        <v>199</v>
      </c>
      <c r="E62" s="4" t="s">
        <v>338</v>
      </c>
      <c r="F62" s="4" t="n">
        <f aca="false">ROUND(INDEX(Règles!$C$5:$C$9,MATCH($D62,Règles!$A$5:$A$9,0))*$M62*$J62*Règles!$C$12,0)</f>
        <v>49</v>
      </c>
      <c r="G62" s="4" t="n">
        <f aca="false">ROUND(INDEX(Règles!$C$5:$C$9,MATCH($D62,Règles!$A$5:$A$9,0))*$M62*$K62,0)</f>
        <v>10</v>
      </c>
      <c r="H62" s="4" t="n">
        <f aca="false">ROUND(INDEX(Règles!$C$5:$C$9,MATCH($D62,Règles!$A$5:$A$9,0))*$M62*$L62,0)</f>
        <v>10</v>
      </c>
      <c r="I62" s="28" t="n">
        <f aca="false">F62/Règles!$C$12+G62+H62</f>
        <v>29.8</v>
      </c>
      <c r="J62" s="29" t="n">
        <v>0.335</v>
      </c>
      <c r="K62" s="29" t="n">
        <v>0.325</v>
      </c>
      <c r="L62" s="29" t="n">
        <v>0.34</v>
      </c>
      <c r="M62" s="30" t="n">
        <v>0.985</v>
      </c>
    </row>
    <row r="63" customFormat="false" ht="15" hidden="false" customHeight="true" outlineLevel="0" collapsed="false">
      <c r="A63" s="3" t="n">
        <v>62</v>
      </c>
      <c r="B63" s="4" t="s">
        <v>316</v>
      </c>
      <c r="C63" s="4" t="s">
        <v>23</v>
      </c>
      <c r="D63" s="10" t="s">
        <v>199</v>
      </c>
      <c r="E63" s="4" t="s">
        <v>339</v>
      </c>
      <c r="F63" s="4" t="n">
        <f aca="false">ROUND(INDEX(Règles!$C$5:$C$9,MATCH($D63,Règles!$A$5:$A$9,0))*$M63*$J63*Règles!$C$12,0)</f>
        <v>40</v>
      </c>
      <c r="G63" s="4" t="n">
        <f aca="false">ROUND(INDEX(Règles!$C$5:$C$9,MATCH($D63,Règles!$A$5:$A$9,0))*$M63*$K63,0)</f>
        <v>15</v>
      </c>
      <c r="H63" s="4" t="n">
        <f aca="false">ROUND(INDEX(Règles!$C$5:$C$9,MATCH($D63,Règles!$A$5:$A$9,0))*$M63*$L63,0)</f>
        <v>7</v>
      </c>
      <c r="I63" s="28" t="n">
        <f aca="false">F63/Règles!$C$12+G63+H63</f>
        <v>30</v>
      </c>
      <c r="J63" s="29" t="n">
        <v>0.269</v>
      </c>
      <c r="K63" s="29" t="n">
        <v>0.512</v>
      </c>
      <c r="L63" s="29" t="n">
        <v>0.219</v>
      </c>
      <c r="M63" s="30" t="n">
        <v>0.999</v>
      </c>
    </row>
    <row r="64" customFormat="false" ht="15" hidden="false" customHeight="true" outlineLevel="0" collapsed="false">
      <c r="A64" s="3" t="n">
        <v>63</v>
      </c>
      <c r="B64" s="4" t="s">
        <v>252</v>
      </c>
      <c r="C64" s="4" t="s">
        <v>9</v>
      </c>
      <c r="D64" s="10" t="s">
        <v>199</v>
      </c>
      <c r="E64" s="4" t="s">
        <v>340</v>
      </c>
      <c r="F64" s="4" t="n">
        <f aca="false">ROUND(INDEX(Règles!$C$5:$C$9,MATCH($D64,Règles!$A$5:$A$9,0))*$M64*$J64*Règles!$C$12,0)</f>
        <v>42</v>
      </c>
      <c r="G64" s="4" t="n">
        <f aca="false">ROUND(INDEX(Règles!$C$5:$C$9,MATCH($D64,Règles!$A$5:$A$9,0))*$M64*$K64,0)</f>
        <v>7</v>
      </c>
      <c r="H64" s="4" t="n">
        <f aca="false">ROUND(INDEX(Règles!$C$5:$C$9,MATCH($D64,Règles!$A$5:$A$9,0))*$M64*$L64,0)</f>
        <v>15</v>
      </c>
      <c r="I64" s="28" t="n">
        <f aca="false">F64/Règles!$C$12+G64+H64</f>
        <v>30.4</v>
      </c>
      <c r="J64" s="29" t="n">
        <v>0.278</v>
      </c>
      <c r="K64" s="29" t="n">
        <v>0.224</v>
      </c>
      <c r="L64" s="29" t="n">
        <v>0.498</v>
      </c>
      <c r="M64" s="30" t="n">
        <v>1.015</v>
      </c>
    </row>
    <row r="65" customFormat="false" ht="15" hidden="false" customHeight="true" outlineLevel="0" collapsed="false">
      <c r="A65" s="3" t="n">
        <v>64</v>
      </c>
      <c r="B65" s="4" t="s">
        <v>303</v>
      </c>
      <c r="C65" s="4" t="s">
        <v>23</v>
      </c>
      <c r="D65" s="10" t="s">
        <v>199</v>
      </c>
      <c r="E65" s="4" t="s">
        <v>341</v>
      </c>
      <c r="F65" s="4" t="n">
        <f aca="false">ROUND(INDEX(Règles!$C$5:$C$9,MATCH($D65,Règles!$A$5:$A$9,0))*$M65*$J65*Règles!$C$12,0)</f>
        <v>80</v>
      </c>
      <c r="G65" s="4" t="n">
        <f aca="false">ROUND(INDEX(Règles!$C$5:$C$9,MATCH($D65,Règles!$A$5:$A$9,0))*$M65*$K65,0)</f>
        <v>7</v>
      </c>
      <c r="H65" s="4" t="n">
        <f aca="false">ROUND(INDEX(Règles!$C$5:$C$9,MATCH($D65,Règles!$A$5:$A$9,0))*$M65*$L65,0)</f>
        <v>7</v>
      </c>
      <c r="I65" s="28" t="n">
        <f aca="false">F65/Règles!$C$12+G65+H65</f>
        <v>30</v>
      </c>
      <c r="J65" s="29" t="n">
        <v>0.538</v>
      </c>
      <c r="K65" s="29" t="n">
        <v>0.239</v>
      </c>
      <c r="L65" s="29" t="n">
        <v>0.223</v>
      </c>
      <c r="M65" s="30" t="n">
        <v>0.994</v>
      </c>
    </row>
    <row r="66" customFormat="false" ht="15" hidden="false" customHeight="true" outlineLevel="0" collapsed="false">
      <c r="A66" s="3" t="n">
        <v>65</v>
      </c>
      <c r="B66" s="4" t="s">
        <v>309</v>
      </c>
      <c r="C66" s="4" t="s">
        <v>23</v>
      </c>
      <c r="D66" s="10" t="s">
        <v>199</v>
      </c>
      <c r="E66" s="4" t="s">
        <v>338</v>
      </c>
      <c r="F66" s="4" t="n">
        <f aca="false">ROUND(INDEX(Règles!$C$5:$C$9,MATCH($D66,Règles!$A$5:$A$9,0))*$M66*$J66*Règles!$C$12,0)</f>
        <v>50</v>
      </c>
      <c r="G66" s="4" t="n">
        <f aca="false">ROUND(INDEX(Règles!$C$5:$C$9,MATCH($D66,Règles!$A$5:$A$9,0))*$M66*$K66,0)</f>
        <v>9</v>
      </c>
      <c r="H66" s="4" t="n">
        <f aca="false">ROUND(INDEX(Règles!$C$5:$C$9,MATCH($D66,Règles!$A$5:$A$9,0))*$M66*$L66,0)</f>
        <v>10</v>
      </c>
      <c r="I66" s="28" t="n">
        <f aca="false">F66/Règles!$C$12+G66+H66</f>
        <v>29</v>
      </c>
      <c r="J66" s="29" t="n">
        <v>0.34</v>
      </c>
      <c r="K66" s="29" t="n">
        <v>0.319</v>
      </c>
      <c r="L66" s="29" t="n">
        <v>0.341</v>
      </c>
      <c r="M66" s="30" t="n">
        <v>0.974</v>
      </c>
    </row>
    <row r="67" customFormat="false" ht="15" hidden="false" customHeight="true" outlineLevel="0" collapsed="false">
      <c r="A67" s="3" t="n">
        <v>66</v>
      </c>
      <c r="B67" s="4" t="s">
        <v>253</v>
      </c>
      <c r="C67" s="4" t="s">
        <v>9</v>
      </c>
      <c r="D67" s="10" t="s">
        <v>199</v>
      </c>
      <c r="E67" s="4" t="s">
        <v>339</v>
      </c>
      <c r="F67" s="4" t="n">
        <f aca="false">ROUND(INDEX(Règles!$C$5:$C$9,MATCH($D67,Règles!$A$5:$A$9,0))*$M67*$J67*Règles!$C$12,0)</f>
        <v>39</v>
      </c>
      <c r="G67" s="4" t="n">
        <f aca="false">ROUND(INDEX(Règles!$C$5:$C$9,MATCH($D67,Règles!$A$5:$A$9,0))*$M67*$K67,0)</f>
        <v>15</v>
      </c>
      <c r="H67" s="4" t="n">
        <f aca="false">ROUND(INDEX(Règles!$C$5:$C$9,MATCH($D67,Règles!$A$5:$A$9,0))*$M67*$L67,0)</f>
        <v>8</v>
      </c>
      <c r="I67" s="28" t="n">
        <f aca="false">F67/Règles!$C$12+G67+H67</f>
        <v>30.8</v>
      </c>
      <c r="J67" s="29" t="n">
        <v>0.255</v>
      </c>
      <c r="K67" s="29" t="n">
        <v>0.493</v>
      </c>
      <c r="L67" s="29" t="n">
        <v>0.252</v>
      </c>
      <c r="M67" s="30" t="n">
        <v>1.016</v>
      </c>
    </row>
    <row r="68" customFormat="false" ht="15" hidden="false" customHeight="true" outlineLevel="0" collapsed="false">
      <c r="A68" s="3" t="n">
        <v>67</v>
      </c>
      <c r="B68" s="4" t="s">
        <v>291</v>
      </c>
      <c r="C68" s="4" t="s">
        <v>23</v>
      </c>
      <c r="D68" s="10" t="s">
        <v>199</v>
      </c>
      <c r="E68" s="4" t="s">
        <v>340</v>
      </c>
      <c r="F68" s="4" t="n">
        <f aca="false">ROUND(INDEX(Règles!$C$5:$C$9,MATCH($D68,Règles!$A$5:$A$9,0))*$M68*$J68*Règles!$C$12,0)</f>
        <v>45</v>
      </c>
      <c r="G68" s="4" t="n">
        <f aca="false">ROUND(INDEX(Règles!$C$5:$C$9,MATCH($D68,Règles!$A$5:$A$9,0))*$M68*$K68,0)</f>
        <v>6</v>
      </c>
      <c r="H68" s="4" t="n">
        <f aca="false">ROUND(INDEX(Règles!$C$5:$C$9,MATCH($D68,Règles!$A$5:$A$9,0))*$M68*$L68,0)</f>
        <v>15</v>
      </c>
      <c r="I68" s="28" t="n">
        <f aca="false">F68/Règles!$C$12+G68+H68</f>
        <v>30</v>
      </c>
      <c r="J68" s="29" t="n">
        <v>0.299</v>
      </c>
      <c r="K68" s="29" t="n">
        <v>0.207</v>
      </c>
      <c r="L68" s="29" t="n">
        <v>0.494</v>
      </c>
      <c r="M68" s="30" t="n">
        <v>1.001</v>
      </c>
    </row>
    <row r="69" customFormat="false" ht="15" hidden="false" customHeight="true" outlineLevel="0" collapsed="false">
      <c r="A69" s="3" t="n">
        <v>68</v>
      </c>
      <c r="B69" s="4" t="s">
        <v>272</v>
      </c>
      <c r="C69" s="4" t="s">
        <v>9</v>
      </c>
      <c r="D69" s="10" t="s">
        <v>199</v>
      </c>
      <c r="E69" s="4" t="s">
        <v>341</v>
      </c>
      <c r="F69" s="4" t="n">
        <f aca="false">ROUND(INDEX(Règles!$C$5:$C$9,MATCH($D69,Règles!$A$5:$A$9,0))*$M69*$J69*Règles!$C$12,0)</f>
        <v>84</v>
      </c>
      <c r="G69" s="4" t="n">
        <f aca="false">ROUND(INDEX(Règles!$C$5:$C$9,MATCH($D69,Règles!$A$5:$A$9,0))*$M69*$K69,0)</f>
        <v>7</v>
      </c>
      <c r="H69" s="4" t="n">
        <f aca="false">ROUND(INDEX(Règles!$C$5:$C$9,MATCH($D69,Règles!$A$5:$A$9,0))*$M69*$L69,0)</f>
        <v>6</v>
      </c>
      <c r="I69" s="28" t="n">
        <f aca="false">F69/Règles!$C$12+G69+H69</f>
        <v>29.8</v>
      </c>
      <c r="J69" s="29" t="n">
        <v>0.563</v>
      </c>
      <c r="K69" s="29" t="n">
        <v>0.244</v>
      </c>
      <c r="L69" s="29" t="n">
        <v>0.193</v>
      </c>
      <c r="M69" s="30" t="n">
        <v>0.99</v>
      </c>
    </row>
    <row r="70" customFormat="false" ht="15" hidden="false" customHeight="true" outlineLevel="0" collapsed="false">
      <c r="A70" s="3" t="n">
        <v>69</v>
      </c>
      <c r="B70" s="4" t="s">
        <v>259</v>
      </c>
      <c r="C70" s="4" t="s">
        <v>9</v>
      </c>
      <c r="D70" s="10" t="s">
        <v>199</v>
      </c>
      <c r="E70" s="4" t="s">
        <v>338</v>
      </c>
      <c r="F70" s="4" t="n">
        <f aca="false">ROUND(INDEX(Règles!$C$5:$C$9,MATCH($D70,Règles!$A$5:$A$9,0))*$M70*$J70*Règles!$C$12,0)</f>
        <v>46</v>
      </c>
      <c r="G70" s="4" t="n">
        <f aca="false">ROUND(INDEX(Règles!$C$5:$C$9,MATCH($D70,Règles!$A$5:$A$9,0))*$M70*$K70,0)</f>
        <v>10</v>
      </c>
      <c r="H70" s="4" t="n">
        <f aca="false">ROUND(INDEX(Règles!$C$5:$C$9,MATCH($D70,Règles!$A$5:$A$9,0))*$M70*$L70,0)</f>
        <v>10</v>
      </c>
      <c r="I70" s="28" t="n">
        <f aca="false">F70/Règles!$C$12+G70+H70</f>
        <v>29.2</v>
      </c>
      <c r="J70" s="29" t="n">
        <v>0.311</v>
      </c>
      <c r="K70" s="29" t="n">
        <v>0.348</v>
      </c>
      <c r="L70" s="29" t="n">
        <v>0.341</v>
      </c>
      <c r="M70" s="30" t="n">
        <v>0.98</v>
      </c>
    </row>
    <row r="71" customFormat="false" ht="15" hidden="false" customHeight="true" outlineLevel="0" collapsed="false">
      <c r="A71" s="3" t="n">
        <v>70</v>
      </c>
      <c r="B71" s="4" t="s">
        <v>301</v>
      </c>
      <c r="C71" s="4" t="s">
        <v>23</v>
      </c>
      <c r="D71" s="10" t="s">
        <v>199</v>
      </c>
      <c r="E71" s="4" t="s">
        <v>339</v>
      </c>
      <c r="F71" s="4" t="n">
        <f aca="false">ROUND(INDEX(Règles!$C$5:$C$9,MATCH($D71,Règles!$A$5:$A$9,0))*$M71*$J71*Règles!$C$12,0)</f>
        <v>34</v>
      </c>
      <c r="G71" s="4" t="n">
        <f aca="false">ROUND(INDEX(Règles!$C$5:$C$9,MATCH($D71,Règles!$A$5:$A$9,0))*$M71*$K71,0)</f>
        <v>15</v>
      </c>
      <c r="H71" s="4" t="n">
        <f aca="false">ROUND(INDEX(Règles!$C$5:$C$9,MATCH($D71,Règles!$A$5:$A$9,0))*$M71*$L71,0)</f>
        <v>8</v>
      </c>
      <c r="I71" s="28" t="n">
        <f aca="false">F71/Règles!$C$12+G71+H71</f>
        <v>29.8</v>
      </c>
      <c r="J71" s="29" t="n">
        <v>0.228</v>
      </c>
      <c r="K71" s="29" t="n">
        <v>0.509</v>
      </c>
      <c r="L71" s="29" t="n">
        <v>0.263</v>
      </c>
      <c r="M71" s="30" t="n">
        <v>1.001</v>
      </c>
    </row>
    <row r="72" customFormat="false" ht="15" hidden="false" customHeight="true" outlineLevel="0" collapsed="false">
      <c r="A72" s="3" t="n">
        <v>71</v>
      </c>
      <c r="B72" s="4" t="s">
        <v>302</v>
      </c>
      <c r="C72" s="4" t="s">
        <v>23</v>
      </c>
      <c r="D72" s="10" t="s">
        <v>199</v>
      </c>
      <c r="E72" s="4" t="s">
        <v>340</v>
      </c>
      <c r="F72" s="4" t="n">
        <f aca="false">ROUND(INDEX(Règles!$C$5:$C$9,MATCH($D72,Règles!$A$5:$A$9,0))*$M72*$J72*Règles!$C$12,0)</f>
        <v>44</v>
      </c>
      <c r="G72" s="4" t="n">
        <f aca="false">ROUND(INDEX(Règles!$C$5:$C$9,MATCH($D72,Règles!$A$5:$A$9,0))*$M72*$K72,0)</f>
        <v>5</v>
      </c>
      <c r="H72" s="4" t="n">
        <f aca="false">ROUND(INDEX(Règles!$C$5:$C$9,MATCH($D72,Règles!$A$5:$A$9,0))*$M72*$L72,0)</f>
        <v>15</v>
      </c>
      <c r="I72" s="28" t="n">
        <f aca="false">F72/Règles!$C$12+G72+H72</f>
        <v>28.8</v>
      </c>
      <c r="J72" s="29" t="n">
        <v>0.3</v>
      </c>
      <c r="K72" s="29" t="n">
        <v>0.181</v>
      </c>
      <c r="L72" s="29" t="n">
        <v>0.519</v>
      </c>
      <c r="M72" s="30" t="n">
        <v>0.983</v>
      </c>
    </row>
    <row r="73" customFormat="false" ht="15" hidden="false" customHeight="true" outlineLevel="0" collapsed="false">
      <c r="A73" s="3" t="n">
        <v>72</v>
      </c>
      <c r="B73" s="4" t="s">
        <v>293</v>
      </c>
      <c r="C73" s="4" t="s">
        <v>23</v>
      </c>
      <c r="D73" s="10" t="s">
        <v>199</v>
      </c>
      <c r="E73" s="4" t="s">
        <v>341</v>
      </c>
      <c r="F73" s="4" t="n">
        <f aca="false">ROUND(INDEX(Règles!$C$5:$C$9,MATCH($D73,Règles!$A$5:$A$9,0))*$M73*$J73*Règles!$C$12,0)</f>
        <v>84</v>
      </c>
      <c r="G73" s="4" t="n">
        <f aca="false">ROUND(INDEX(Règles!$C$5:$C$9,MATCH($D73,Règles!$A$5:$A$9,0))*$M73*$K73,0)</f>
        <v>7</v>
      </c>
      <c r="H73" s="4" t="n">
        <f aca="false">ROUND(INDEX(Règles!$C$5:$C$9,MATCH($D73,Règles!$A$5:$A$9,0))*$M73*$L73,0)</f>
        <v>6</v>
      </c>
      <c r="I73" s="28" t="n">
        <f aca="false">F73/Règles!$C$12+G73+H73</f>
        <v>29.8</v>
      </c>
      <c r="J73" s="29" t="n">
        <v>0.559</v>
      </c>
      <c r="K73" s="29" t="n">
        <v>0.237</v>
      </c>
      <c r="L73" s="29" t="n">
        <v>0.204</v>
      </c>
      <c r="M73" s="30" t="n">
        <v>1.002</v>
      </c>
    </row>
    <row r="74" customFormat="false" ht="15" hidden="false" customHeight="true" outlineLevel="0" collapsed="false">
      <c r="A74" s="3" t="n">
        <v>73</v>
      </c>
      <c r="B74" s="4" t="s">
        <v>250</v>
      </c>
      <c r="C74" s="4" t="s">
        <v>9</v>
      </c>
      <c r="D74" s="10" t="s">
        <v>199</v>
      </c>
      <c r="E74" s="4" t="s">
        <v>338</v>
      </c>
      <c r="F74" s="4" t="n">
        <f aca="false">ROUND(INDEX(Règles!$C$5:$C$9,MATCH($D74,Règles!$A$5:$A$9,0))*$M74*$J74*Règles!$C$12,0)</f>
        <v>52</v>
      </c>
      <c r="G74" s="4" t="n">
        <f aca="false">ROUND(INDEX(Règles!$C$5:$C$9,MATCH($D74,Règles!$A$5:$A$9,0))*$M74*$K74,0)</f>
        <v>11</v>
      </c>
      <c r="H74" s="4" t="n">
        <f aca="false">ROUND(INDEX(Règles!$C$5:$C$9,MATCH($D74,Règles!$A$5:$A$9,0))*$M74*$L74,0)</f>
        <v>10</v>
      </c>
      <c r="I74" s="28" t="n">
        <f aca="false">F74/Règles!$C$12+G74+H74</f>
        <v>31.4</v>
      </c>
      <c r="J74" s="29" t="n">
        <v>0.339</v>
      </c>
      <c r="K74" s="29" t="n">
        <v>0.346</v>
      </c>
      <c r="L74" s="29" t="n">
        <v>0.315</v>
      </c>
      <c r="M74" s="30" t="n">
        <v>1.022</v>
      </c>
    </row>
    <row r="75" customFormat="false" ht="15" hidden="false" customHeight="true" outlineLevel="0" collapsed="false">
      <c r="A75" s="3" t="n">
        <v>74</v>
      </c>
      <c r="B75" s="4" t="s">
        <v>208</v>
      </c>
      <c r="C75" s="4" t="s">
        <v>9</v>
      </c>
      <c r="D75" s="10" t="s">
        <v>199</v>
      </c>
      <c r="E75" s="4" t="s">
        <v>339</v>
      </c>
      <c r="F75" s="4" t="n">
        <f aca="false">ROUND(INDEX(Règles!$C$5:$C$9,MATCH($D75,Règles!$A$5:$A$9,0))*$M75*$J75*Règles!$C$12,0)</f>
        <v>36</v>
      </c>
      <c r="G75" s="4" t="n">
        <f aca="false">ROUND(INDEX(Règles!$C$5:$C$9,MATCH($D75,Règles!$A$5:$A$9,0))*$M75*$K75,0)</f>
        <v>15</v>
      </c>
      <c r="H75" s="4" t="n">
        <f aca="false">ROUND(INDEX(Règles!$C$5:$C$9,MATCH($D75,Règles!$A$5:$A$9,0))*$M75*$L75,0)</f>
        <v>8</v>
      </c>
      <c r="I75" s="28" t="n">
        <f aca="false">F75/Règles!$C$12+G75+H75</f>
        <v>30.2</v>
      </c>
      <c r="J75" s="29" t="n">
        <v>0.244</v>
      </c>
      <c r="K75" s="29" t="n">
        <v>0.492</v>
      </c>
      <c r="L75" s="29" t="n">
        <v>0.264</v>
      </c>
      <c r="M75" s="30" t="n">
        <v>0.99</v>
      </c>
    </row>
    <row r="76" customFormat="false" ht="15" hidden="false" customHeight="true" outlineLevel="0" collapsed="false">
      <c r="A76" s="3" t="n">
        <v>75</v>
      </c>
      <c r="B76" s="4" t="s">
        <v>241</v>
      </c>
      <c r="C76" s="4" t="s">
        <v>9</v>
      </c>
      <c r="D76" s="10" t="s">
        <v>199</v>
      </c>
      <c r="E76" s="4" t="s">
        <v>340</v>
      </c>
      <c r="F76" s="4" t="n">
        <f aca="false">ROUND(INDEX(Règles!$C$5:$C$9,MATCH($D76,Règles!$A$5:$A$9,0))*$M76*$J76*Règles!$C$12,0)</f>
        <v>48</v>
      </c>
      <c r="G76" s="4" t="n">
        <f aca="false">ROUND(INDEX(Règles!$C$5:$C$9,MATCH($D76,Règles!$A$5:$A$9,0))*$M76*$K76,0)</f>
        <v>6</v>
      </c>
      <c r="H76" s="4" t="n">
        <f aca="false">ROUND(INDEX(Règles!$C$5:$C$9,MATCH($D76,Règles!$A$5:$A$9,0))*$M76*$L76,0)</f>
        <v>15</v>
      </c>
      <c r="I76" s="28" t="n">
        <f aca="false">F76/Règles!$C$12+G76+H76</f>
        <v>30.6</v>
      </c>
      <c r="J76" s="29" t="n">
        <v>0.32</v>
      </c>
      <c r="K76" s="29" t="n">
        <v>0.188</v>
      </c>
      <c r="L76" s="29" t="n">
        <v>0.492</v>
      </c>
      <c r="M76" s="30" t="n">
        <v>1.002</v>
      </c>
    </row>
    <row r="77" customFormat="false" ht="15" hidden="false" customHeight="true" outlineLevel="0" collapsed="false">
      <c r="A77" s="3" t="n">
        <v>76</v>
      </c>
      <c r="B77" s="4" t="s">
        <v>230</v>
      </c>
      <c r="C77" s="4" t="s">
        <v>9</v>
      </c>
      <c r="D77" s="10" t="s">
        <v>199</v>
      </c>
      <c r="E77" s="4" t="s">
        <v>341</v>
      </c>
      <c r="F77" s="4" t="n">
        <f aca="false">ROUND(INDEX(Règles!$C$5:$C$9,MATCH($D77,Règles!$A$5:$A$9,0))*$M77*$J77*Règles!$C$12,0)</f>
        <v>80</v>
      </c>
      <c r="G77" s="4" t="n">
        <f aca="false">ROUND(INDEX(Règles!$C$5:$C$9,MATCH($D77,Règles!$A$5:$A$9,0))*$M77*$K77,0)</f>
        <v>8</v>
      </c>
      <c r="H77" s="4" t="n">
        <f aca="false">ROUND(INDEX(Règles!$C$5:$C$9,MATCH($D77,Règles!$A$5:$A$9,0))*$M77*$L77,0)</f>
        <v>7</v>
      </c>
      <c r="I77" s="28" t="n">
        <f aca="false">F77/Règles!$C$12+G77+H77</f>
        <v>31</v>
      </c>
      <c r="J77" s="29" t="n">
        <v>0.523</v>
      </c>
      <c r="K77" s="29" t="n">
        <v>0.25</v>
      </c>
      <c r="L77" s="29" t="n">
        <v>0.227</v>
      </c>
      <c r="M77" s="30" t="n">
        <v>1.014</v>
      </c>
    </row>
    <row r="78" customFormat="false" ht="15" hidden="false" customHeight="true" outlineLevel="0" collapsed="false">
      <c r="A78" s="3" t="n">
        <v>77</v>
      </c>
      <c r="B78" s="4" t="s">
        <v>215</v>
      </c>
      <c r="C78" s="4" t="s">
        <v>9</v>
      </c>
      <c r="D78" s="10" t="s">
        <v>199</v>
      </c>
      <c r="E78" s="4" t="s">
        <v>338</v>
      </c>
      <c r="F78" s="4" t="n">
        <f aca="false">ROUND(INDEX(Règles!$C$5:$C$9,MATCH($D78,Règles!$A$5:$A$9,0))*$M78*$J78*Règles!$C$12,0)</f>
        <v>46</v>
      </c>
      <c r="G78" s="4" t="n">
        <f aca="false">ROUND(INDEX(Règles!$C$5:$C$9,MATCH($D78,Règles!$A$5:$A$9,0))*$M78*$K78,0)</f>
        <v>10</v>
      </c>
      <c r="H78" s="4" t="n">
        <f aca="false">ROUND(INDEX(Règles!$C$5:$C$9,MATCH($D78,Règles!$A$5:$A$9,0))*$M78*$L78,0)</f>
        <v>10</v>
      </c>
      <c r="I78" s="28" t="n">
        <f aca="false">F78/Règles!$C$12+G78+H78</f>
        <v>29.2</v>
      </c>
      <c r="J78" s="29" t="n">
        <v>0.316</v>
      </c>
      <c r="K78" s="29" t="n">
        <v>0.347</v>
      </c>
      <c r="L78" s="29" t="n">
        <v>0.337</v>
      </c>
      <c r="M78" s="30" t="n">
        <v>0.974</v>
      </c>
    </row>
    <row r="79" customFormat="false" ht="15" hidden="false" customHeight="true" outlineLevel="0" collapsed="false">
      <c r="A79" s="3" t="n">
        <v>78</v>
      </c>
      <c r="B79" s="4" t="s">
        <v>236</v>
      </c>
      <c r="C79" s="4" t="s">
        <v>9</v>
      </c>
      <c r="D79" s="10" t="s">
        <v>199</v>
      </c>
      <c r="E79" s="4" t="s">
        <v>339</v>
      </c>
      <c r="F79" s="4" t="n">
        <f aca="false">ROUND(INDEX(Règles!$C$5:$C$9,MATCH($D79,Règles!$A$5:$A$9,0))*$M79*$J79*Règles!$C$12,0)</f>
        <v>40</v>
      </c>
      <c r="G79" s="4" t="n">
        <f aca="false">ROUND(INDEX(Règles!$C$5:$C$9,MATCH($D79,Règles!$A$5:$A$9,0))*$M79*$K79,0)</f>
        <v>15</v>
      </c>
      <c r="H79" s="4" t="n">
        <f aca="false">ROUND(INDEX(Règles!$C$5:$C$9,MATCH($D79,Règles!$A$5:$A$9,0))*$M79*$L79,0)</f>
        <v>8</v>
      </c>
      <c r="I79" s="28" t="n">
        <f aca="false">F79/Règles!$C$12+G79+H79</f>
        <v>31</v>
      </c>
      <c r="J79" s="29" t="n">
        <v>0.26</v>
      </c>
      <c r="K79" s="29" t="n">
        <v>0.472</v>
      </c>
      <c r="L79" s="29" t="n">
        <v>0.268</v>
      </c>
      <c r="M79" s="30" t="n">
        <v>1.026</v>
      </c>
    </row>
    <row r="80" customFormat="false" ht="15" hidden="false" customHeight="true" outlineLevel="0" collapsed="false">
      <c r="A80" s="3" t="n">
        <v>79</v>
      </c>
      <c r="B80" s="4" t="s">
        <v>280</v>
      </c>
      <c r="C80" s="4" t="s">
        <v>23</v>
      </c>
      <c r="D80" s="10" t="s">
        <v>199</v>
      </c>
      <c r="E80" s="4" t="s">
        <v>340</v>
      </c>
      <c r="F80" s="4" t="n">
        <f aca="false">ROUND(INDEX(Règles!$C$5:$C$9,MATCH($D80,Règles!$A$5:$A$9,0))*$M80*$J80*Règles!$C$12,0)</f>
        <v>43</v>
      </c>
      <c r="G80" s="4" t="n">
        <f aca="false">ROUND(INDEX(Règles!$C$5:$C$9,MATCH($D80,Règles!$A$5:$A$9,0))*$M80*$K80,0)</f>
        <v>6</v>
      </c>
      <c r="H80" s="4" t="n">
        <f aca="false">ROUND(INDEX(Règles!$C$5:$C$9,MATCH($D80,Règles!$A$5:$A$9,0))*$M80*$L80,0)</f>
        <v>15</v>
      </c>
      <c r="I80" s="28" t="n">
        <f aca="false">F80/Règles!$C$12+G80+H80</f>
        <v>29.6</v>
      </c>
      <c r="J80" s="29" t="n">
        <v>0.29</v>
      </c>
      <c r="K80" s="29" t="n">
        <v>0.192</v>
      </c>
      <c r="L80" s="29" t="n">
        <v>0.518</v>
      </c>
      <c r="M80" s="30" t="n">
        <v>0.991</v>
      </c>
    </row>
    <row r="81" customFormat="false" ht="15" hidden="false" customHeight="true" outlineLevel="0" collapsed="false">
      <c r="A81" s="3" t="n">
        <v>80</v>
      </c>
      <c r="B81" s="4" t="s">
        <v>254</v>
      </c>
      <c r="C81" s="4" t="s">
        <v>9</v>
      </c>
      <c r="D81" s="10" t="s">
        <v>199</v>
      </c>
      <c r="E81" s="4" t="s">
        <v>341</v>
      </c>
      <c r="F81" s="4" t="n">
        <f aca="false">ROUND(INDEX(Règles!$C$5:$C$9,MATCH($D81,Règles!$A$5:$A$9,0))*$M81*$J81*Règles!$C$12,0)</f>
        <v>85</v>
      </c>
      <c r="G81" s="4" t="n">
        <f aca="false">ROUND(INDEX(Règles!$C$5:$C$9,MATCH($D81,Règles!$A$5:$A$9,0))*$M81*$K81,0)</f>
        <v>7</v>
      </c>
      <c r="H81" s="4" t="n">
        <f aca="false">ROUND(INDEX(Règles!$C$5:$C$9,MATCH($D81,Règles!$A$5:$A$9,0))*$M81*$L81,0)</f>
        <v>5</v>
      </c>
      <c r="I81" s="28" t="n">
        <f aca="false">F81/Règles!$C$12+G81+H81</f>
        <v>29</v>
      </c>
      <c r="J81" s="29" t="n">
        <v>0.575</v>
      </c>
      <c r="K81" s="29" t="n">
        <v>0.243</v>
      </c>
      <c r="L81" s="29" t="n">
        <v>0.182</v>
      </c>
      <c r="M81" s="30" t="n">
        <v>0.981</v>
      </c>
    </row>
    <row r="82" customFormat="false" ht="15" hidden="false" customHeight="true" outlineLevel="0" collapsed="false">
      <c r="A82" s="3" t="n">
        <v>81</v>
      </c>
      <c r="B82" s="4" t="s">
        <v>282</v>
      </c>
      <c r="C82" s="4" t="s">
        <v>23</v>
      </c>
      <c r="D82" s="10" t="s">
        <v>199</v>
      </c>
      <c r="E82" s="4" t="s">
        <v>338</v>
      </c>
      <c r="F82" s="4" t="n">
        <f aca="false">ROUND(INDEX(Règles!$C$5:$C$9,MATCH($D82,Règles!$A$5:$A$9,0))*$M82*$J82*Règles!$C$12,0)</f>
        <v>49</v>
      </c>
      <c r="G82" s="4" t="n">
        <f aca="false">ROUND(INDEX(Règles!$C$5:$C$9,MATCH($D82,Règles!$A$5:$A$9,0))*$M82*$K82,0)</f>
        <v>10</v>
      </c>
      <c r="H82" s="4" t="n">
        <f aca="false">ROUND(INDEX(Règles!$C$5:$C$9,MATCH($D82,Règles!$A$5:$A$9,0))*$M82*$L82,0)</f>
        <v>10</v>
      </c>
      <c r="I82" s="28" t="n">
        <f aca="false">F82/Règles!$C$12+G82+H82</f>
        <v>29.8</v>
      </c>
      <c r="J82" s="29" t="n">
        <v>0.323</v>
      </c>
      <c r="K82" s="29" t="n">
        <v>0.343</v>
      </c>
      <c r="L82" s="29" t="n">
        <v>0.334</v>
      </c>
      <c r="M82" s="30" t="n">
        <v>1.003</v>
      </c>
    </row>
    <row r="83" customFormat="false" ht="15" hidden="false" customHeight="true" outlineLevel="0" collapsed="false">
      <c r="A83" s="3" t="n">
        <v>82</v>
      </c>
      <c r="B83" s="4" t="s">
        <v>245</v>
      </c>
      <c r="C83" s="4" t="s">
        <v>9</v>
      </c>
      <c r="D83" s="10" t="s">
        <v>199</v>
      </c>
      <c r="E83" s="4" t="s">
        <v>339</v>
      </c>
      <c r="F83" s="4" t="n">
        <f aca="false">ROUND(INDEX(Règles!$C$5:$C$9,MATCH($D83,Règles!$A$5:$A$9,0))*$M83*$J83*Règles!$C$12,0)</f>
        <v>35</v>
      </c>
      <c r="G83" s="4" t="n">
        <f aca="false">ROUND(INDEX(Règles!$C$5:$C$9,MATCH($D83,Règles!$A$5:$A$9,0))*$M83*$K83,0)</f>
        <v>15</v>
      </c>
      <c r="H83" s="4" t="n">
        <f aca="false">ROUND(INDEX(Règles!$C$5:$C$9,MATCH($D83,Règles!$A$5:$A$9,0))*$M83*$L83,0)</f>
        <v>8</v>
      </c>
      <c r="I83" s="28" t="n">
        <f aca="false">F83/Règles!$C$12+G83+H83</f>
        <v>30</v>
      </c>
      <c r="J83" s="29" t="n">
        <v>0.234</v>
      </c>
      <c r="K83" s="29" t="n">
        <v>0.51</v>
      </c>
      <c r="L83" s="29" t="n">
        <v>0.256</v>
      </c>
      <c r="M83" s="30" t="n">
        <v>1.003</v>
      </c>
    </row>
    <row r="84" customFormat="false" ht="15" hidden="false" customHeight="true" outlineLevel="0" collapsed="false">
      <c r="A84" s="3" t="n">
        <v>83</v>
      </c>
      <c r="B84" s="4" t="s">
        <v>296</v>
      </c>
      <c r="C84" s="4" t="s">
        <v>23</v>
      </c>
      <c r="D84" s="10" t="s">
        <v>199</v>
      </c>
      <c r="E84" s="4" t="s">
        <v>340</v>
      </c>
      <c r="F84" s="4" t="n">
        <f aca="false">ROUND(INDEX(Règles!$C$5:$C$9,MATCH($D84,Règles!$A$5:$A$9,0))*$M84*$J84*Règles!$C$12,0)</f>
        <v>45</v>
      </c>
      <c r="G84" s="4" t="n">
        <f aca="false">ROUND(INDEX(Règles!$C$5:$C$9,MATCH($D84,Règles!$A$5:$A$9,0))*$M84*$K84,0)</f>
        <v>6</v>
      </c>
      <c r="H84" s="4" t="n">
        <f aca="false">ROUND(INDEX(Règles!$C$5:$C$9,MATCH($D84,Règles!$A$5:$A$9,0))*$M84*$L84,0)</f>
        <v>14</v>
      </c>
      <c r="I84" s="28" t="n">
        <f aca="false">F84/Règles!$C$12+G84+H84</f>
        <v>29</v>
      </c>
      <c r="J84" s="29" t="n">
        <v>0.3</v>
      </c>
      <c r="K84" s="29" t="n">
        <v>0.217</v>
      </c>
      <c r="L84" s="29" t="n">
        <v>0.483</v>
      </c>
      <c r="M84" s="30" t="n">
        <v>0.989</v>
      </c>
    </row>
    <row r="85" customFormat="false" ht="15" hidden="false" customHeight="true" outlineLevel="0" collapsed="false">
      <c r="A85" s="3" t="n">
        <v>84</v>
      </c>
      <c r="B85" s="4" t="s">
        <v>203</v>
      </c>
      <c r="C85" s="4" t="s">
        <v>9</v>
      </c>
      <c r="D85" s="10" t="s">
        <v>199</v>
      </c>
      <c r="E85" s="4" t="s">
        <v>341</v>
      </c>
      <c r="F85" s="4" t="n">
        <f aca="false">ROUND(INDEX(Règles!$C$5:$C$9,MATCH($D85,Règles!$A$5:$A$9,0))*$M85*$J85*Règles!$C$12,0)</f>
        <v>86</v>
      </c>
      <c r="G85" s="4" t="n">
        <f aca="false">ROUND(INDEX(Règles!$C$5:$C$9,MATCH($D85,Règles!$A$5:$A$9,0))*$M85*$K85,0)</f>
        <v>7</v>
      </c>
      <c r="H85" s="4" t="n">
        <f aca="false">ROUND(INDEX(Règles!$C$5:$C$9,MATCH($D85,Règles!$A$5:$A$9,0))*$M85*$L85,0)</f>
        <v>5</v>
      </c>
      <c r="I85" s="28" t="n">
        <f aca="false">F85/Règles!$C$12+G85+H85</f>
        <v>29.2</v>
      </c>
      <c r="J85" s="29" t="n">
        <v>0.589</v>
      </c>
      <c r="K85" s="29" t="n">
        <v>0.233</v>
      </c>
      <c r="L85" s="29" t="n">
        <v>0.178</v>
      </c>
      <c r="M85" s="30" t="n">
        <v>0.976</v>
      </c>
    </row>
    <row r="86" customFormat="false" ht="15" hidden="false" customHeight="true" outlineLevel="0" collapsed="false">
      <c r="A86" s="3" t="n">
        <v>85</v>
      </c>
      <c r="B86" s="4" t="s">
        <v>289</v>
      </c>
      <c r="C86" s="4" t="s">
        <v>23</v>
      </c>
      <c r="D86" s="10" t="s">
        <v>199</v>
      </c>
      <c r="E86" s="4" t="s">
        <v>338</v>
      </c>
      <c r="F86" s="4" t="n">
        <f aca="false">ROUND(INDEX(Règles!$C$5:$C$9,MATCH($D86,Règles!$A$5:$A$9,0))*$M86*$J86*Règles!$C$12,0)</f>
        <v>49</v>
      </c>
      <c r="G86" s="4" t="n">
        <f aca="false">ROUND(INDEX(Règles!$C$5:$C$9,MATCH($D86,Règles!$A$5:$A$9,0))*$M86*$K86,0)</f>
        <v>10</v>
      </c>
      <c r="H86" s="4" t="n">
        <f aca="false">ROUND(INDEX(Règles!$C$5:$C$9,MATCH($D86,Règles!$A$5:$A$9,0))*$M86*$L86,0)</f>
        <v>10</v>
      </c>
      <c r="I86" s="28" t="n">
        <f aca="false">F86/Règles!$C$12+G86+H86</f>
        <v>29.8</v>
      </c>
      <c r="J86" s="29" t="n">
        <v>0.333</v>
      </c>
      <c r="K86" s="29" t="n">
        <v>0.33</v>
      </c>
      <c r="L86" s="29" t="n">
        <v>0.337</v>
      </c>
      <c r="M86" s="30" t="n">
        <v>0.985</v>
      </c>
    </row>
    <row r="87" customFormat="false" ht="15" hidden="false" customHeight="true" outlineLevel="0" collapsed="false">
      <c r="A87" s="3" t="n">
        <v>86</v>
      </c>
      <c r="B87" s="4" t="s">
        <v>318</v>
      </c>
      <c r="C87" s="4" t="s">
        <v>23</v>
      </c>
      <c r="D87" s="10" t="s">
        <v>199</v>
      </c>
      <c r="E87" s="4" t="s">
        <v>339</v>
      </c>
      <c r="F87" s="4" t="n">
        <f aca="false">ROUND(INDEX(Règles!$C$5:$C$9,MATCH($D87,Règles!$A$5:$A$9,0))*$M87*$J87*Règles!$C$12,0)</f>
        <v>42</v>
      </c>
      <c r="G87" s="4" t="n">
        <f aca="false">ROUND(INDEX(Règles!$C$5:$C$9,MATCH($D87,Règles!$A$5:$A$9,0))*$M87*$K87,0)</f>
        <v>15</v>
      </c>
      <c r="H87" s="4" t="n">
        <f aca="false">ROUND(INDEX(Règles!$C$5:$C$9,MATCH($D87,Règles!$A$5:$A$9,0))*$M87*$L87,0)</f>
        <v>7</v>
      </c>
      <c r="I87" s="28" t="n">
        <f aca="false">F87/Règles!$C$12+G87+H87</f>
        <v>30.4</v>
      </c>
      <c r="J87" s="29" t="n">
        <v>0.272</v>
      </c>
      <c r="K87" s="29" t="n">
        <v>0.491</v>
      </c>
      <c r="L87" s="29" t="n">
        <v>0.237</v>
      </c>
      <c r="M87" s="30" t="n">
        <v>1.019</v>
      </c>
    </row>
    <row r="88" customFormat="false" ht="15" hidden="false" customHeight="true" outlineLevel="0" collapsed="false">
      <c r="A88" s="3" t="n">
        <v>87</v>
      </c>
      <c r="B88" s="4" t="s">
        <v>226</v>
      </c>
      <c r="C88" s="4" t="s">
        <v>9</v>
      </c>
      <c r="D88" s="10" t="s">
        <v>199</v>
      </c>
      <c r="E88" s="4" t="s">
        <v>340</v>
      </c>
      <c r="F88" s="4" t="n">
        <f aca="false">ROUND(INDEX(Règles!$C$5:$C$9,MATCH($D88,Règles!$A$5:$A$9,0))*$M88*$J88*Règles!$C$12,0)</f>
        <v>43</v>
      </c>
      <c r="G88" s="4" t="n">
        <f aca="false">ROUND(INDEX(Règles!$C$5:$C$9,MATCH($D88,Règles!$A$5:$A$9,0))*$M88*$K88,0)</f>
        <v>6</v>
      </c>
      <c r="H88" s="4" t="n">
        <f aca="false">ROUND(INDEX(Règles!$C$5:$C$9,MATCH($D88,Règles!$A$5:$A$9,0))*$M88*$L88,0)</f>
        <v>15</v>
      </c>
      <c r="I88" s="28" t="n">
        <f aca="false">F88/Règles!$C$12+G88+H88</f>
        <v>29.6</v>
      </c>
      <c r="J88" s="29" t="n">
        <v>0.292</v>
      </c>
      <c r="K88" s="29" t="n">
        <v>0.194</v>
      </c>
      <c r="L88" s="29" t="n">
        <v>0.514</v>
      </c>
      <c r="M88" s="30" t="n">
        <v>0.98</v>
      </c>
    </row>
    <row r="89" customFormat="false" ht="15" hidden="false" customHeight="true" outlineLevel="0" collapsed="false">
      <c r="A89" s="3" t="n">
        <v>88</v>
      </c>
      <c r="B89" s="4" t="s">
        <v>292</v>
      </c>
      <c r="C89" s="4" t="s">
        <v>23</v>
      </c>
      <c r="D89" s="10" t="s">
        <v>199</v>
      </c>
      <c r="E89" s="4" t="s">
        <v>341</v>
      </c>
      <c r="F89" s="4" t="n">
        <f aca="false">ROUND(INDEX(Règles!$C$5:$C$9,MATCH($D89,Règles!$A$5:$A$9,0))*$M89*$J89*Règles!$C$12,0)</f>
        <v>79</v>
      </c>
      <c r="G89" s="4" t="n">
        <f aca="false">ROUND(INDEX(Règles!$C$5:$C$9,MATCH($D89,Règles!$A$5:$A$9,0))*$M89*$K89,0)</f>
        <v>8</v>
      </c>
      <c r="H89" s="4" t="n">
        <f aca="false">ROUND(INDEX(Règles!$C$5:$C$9,MATCH($D89,Règles!$A$5:$A$9,0))*$M89*$L89,0)</f>
        <v>5</v>
      </c>
      <c r="I89" s="28" t="n">
        <f aca="false">F89/Règles!$C$12+G89+H89</f>
        <v>28.8</v>
      </c>
      <c r="J89" s="29" t="n">
        <v>0.537</v>
      </c>
      <c r="K89" s="29" t="n">
        <v>0.28</v>
      </c>
      <c r="L89" s="29" t="n">
        <v>0.183</v>
      </c>
      <c r="M89" s="30" t="n">
        <v>0.98</v>
      </c>
    </row>
    <row r="90" customFormat="false" ht="15" hidden="false" customHeight="true" outlineLevel="0" collapsed="false">
      <c r="A90" s="3" t="n">
        <v>89</v>
      </c>
      <c r="B90" s="4" t="s">
        <v>314</v>
      </c>
      <c r="C90" s="4" t="s">
        <v>23</v>
      </c>
      <c r="D90" s="10" t="s">
        <v>199</v>
      </c>
      <c r="E90" s="4" t="s">
        <v>338</v>
      </c>
      <c r="F90" s="4" t="n">
        <f aca="false">ROUND(INDEX(Règles!$C$5:$C$9,MATCH($D90,Règles!$A$5:$A$9,0))*$M90*$J90*Règles!$C$12,0)</f>
        <v>55</v>
      </c>
      <c r="G90" s="4" t="n">
        <f aca="false">ROUND(INDEX(Règles!$C$5:$C$9,MATCH($D90,Règles!$A$5:$A$9,0))*$M90*$K90,0)</f>
        <v>10</v>
      </c>
      <c r="H90" s="4" t="n">
        <f aca="false">ROUND(INDEX(Règles!$C$5:$C$9,MATCH($D90,Règles!$A$5:$A$9,0))*$M90*$L90,0)</f>
        <v>10</v>
      </c>
      <c r="I90" s="28" t="n">
        <f aca="false">F90/Règles!$C$12+G90+H90</f>
        <v>31</v>
      </c>
      <c r="J90" s="29" t="n">
        <v>0.362</v>
      </c>
      <c r="K90" s="29" t="n">
        <v>0.319</v>
      </c>
      <c r="L90" s="29" t="n">
        <v>0.319</v>
      </c>
      <c r="M90" s="30" t="n">
        <v>1.021</v>
      </c>
    </row>
    <row r="91" customFormat="false" ht="15" hidden="false" customHeight="true" outlineLevel="0" collapsed="false">
      <c r="A91" s="3" t="n">
        <v>90</v>
      </c>
      <c r="B91" s="4" t="s">
        <v>278</v>
      </c>
      <c r="C91" s="4" t="s">
        <v>9</v>
      </c>
      <c r="D91" s="10" t="s">
        <v>199</v>
      </c>
      <c r="E91" s="4" t="s">
        <v>339</v>
      </c>
      <c r="F91" s="4" t="n">
        <f aca="false">ROUND(INDEX(Règles!$C$5:$C$9,MATCH($D91,Règles!$A$5:$A$9,0))*$M91*$J91*Règles!$C$12,0)</f>
        <v>37</v>
      </c>
      <c r="G91" s="4" t="n">
        <f aca="false">ROUND(INDEX(Règles!$C$5:$C$9,MATCH($D91,Règles!$A$5:$A$9,0))*$M91*$K91,0)</f>
        <v>15</v>
      </c>
      <c r="H91" s="4" t="n">
        <f aca="false">ROUND(INDEX(Règles!$C$5:$C$9,MATCH($D91,Règles!$A$5:$A$9,0))*$M91*$L91,0)</f>
        <v>7</v>
      </c>
      <c r="I91" s="28" t="n">
        <f aca="false">F91/Règles!$C$12+G91+H91</f>
        <v>29.4</v>
      </c>
      <c r="J91" s="29" t="n">
        <v>0.25</v>
      </c>
      <c r="K91" s="29" t="n">
        <v>0.504</v>
      </c>
      <c r="L91" s="29" t="n">
        <v>0.246</v>
      </c>
      <c r="M91" s="30" t="n">
        <v>0.996</v>
      </c>
    </row>
    <row r="92" customFormat="false" ht="15" hidden="false" customHeight="true" outlineLevel="0" collapsed="false">
      <c r="A92" s="3" t="n">
        <v>91</v>
      </c>
      <c r="B92" s="4" t="s">
        <v>264</v>
      </c>
      <c r="C92" s="4" t="s">
        <v>9</v>
      </c>
      <c r="D92" s="10" t="s">
        <v>199</v>
      </c>
      <c r="E92" s="4" t="s">
        <v>340</v>
      </c>
      <c r="F92" s="4" t="n">
        <f aca="false">ROUND(INDEX(Règles!$C$5:$C$9,MATCH($D92,Règles!$A$5:$A$9,0))*$M92*$J92*Règles!$C$12,0)</f>
        <v>50</v>
      </c>
      <c r="G92" s="4" t="n">
        <f aca="false">ROUND(INDEX(Règles!$C$5:$C$9,MATCH($D92,Règles!$A$5:$A$9,0))*$M92*$K92,0)</f>
        <v>6</v>
      </c>
      <c r="H92" s="4" t="n">
        <f aca="false">ROUND(INDEX(Règles!$C$5:$C$9,MATCH($D92,Règles!$A$5:$A$9,0))*$M92*$L92,0)</f>
        <v>14</v>
      </c>
      <c r="I92" s="28" t="n">
        <f aca="false">F92/Règles!$C$12+G92+H92</f>
        <v>30</v>
      </c>
      <c r="J92" s="29" t="n">
        <v>0.324</v>
      </c>
      <c r="K92" s="29" t="n">
        <v>0.205</v>
      </c>
      <c r="L92" s="29" t="n">
        <v>0.471</v>
      </c>
      <c r="M92" s="30" t="n">
        <v>1.024</v>
      </c>
    </row>
    <row r="93" customFormat="false" ht="15" hidden="false" customHeight="true" outlineLevel="0" collapsed="false">
      <c r="A93" s="3" t="n">
        <v>92</v>
      </c>
      <c r="B93" s="4" t="s">
        <v>317</v>
      </c>
      <c r="C93" s="4" t="s">
        <v>23</v>
      </c>
      <c r="D93" s="10" t="s">
        <v>199</v>
      </c>
      <c r="E93" s="4" t="s">
        <v>341</v>
      </c>
      <c r="F93" s="4" t="n">
        <f aca="false">ROUND(INDEX(Règles!$C$5:$C$9,MATCH($D93,Règles!$A$5:$A$9,0))*$M93*$J93*Règles!$C$12,0)</f>
        <v>89</v>
      </c>
      <c r="G93" s="4" t="n">
        <f aca="false">ROUND(INDEX(Règles!$C$5:$C$9,MATCH($D93,Règles!$A$5:$A$9,0))*$M93*$K93,0)</f>
        <v>7</v>
      </c>
      <c r="H93" s="4" t="n">
        <f aca="false">ROUND(INDEX(Règles!$C$5:$C$9,MATCH($D93,Règles!$A$5:$A$9,0))*$M93*$L93,0)</f>
        <v>6</v>
      </c>
      <c r="I93" s="28" t="n">
        <f aca="false">F93/Règles!$C$12+G93+H93</f>
        <v>30.8</v>
      </c>
      <c r="J93" s="29" t="n">
        <v>0.584</v>
      </c>
      <c r="K93" s="29" t="n">
        <v>0.235</v>
      </c>
      <c r="L93" s="29" t="n">
        <v>0.181</v>
      </c>
      <c r="M93" s="30" t="n">
        <v>1.013</v>
      </c>
    </row>
    <row r="94" customFormat="false" ht="15" hidden="false" customHeight="true" outlineLevel="0" collapsed="false">
      <c r="A94" s="3" t="n">
        <v>93</v>
      </c>
      <c r="B94" s="4" t="s">
        <v>251</v>
      </c>
      <c r="C94" s="4" t="s">
        <v>9</v>
      </c>
      <c r="D94" s="10" t="s">
        <v>199</v>
      </c>
      <c r="E94" s="4" t="s">
        <v>338</v>
      </c>
      <c r="F94" s="4" t="n">
        <f aca="false">ROUND(INDEX(Règles!$C$5:$C$9,MATCH($D94,Règles!$A$5:$A$9,0))*$M94*$J94*Règles!$C$12,0)</f>
        <v>54</v>
      </c>
      <c r="G94" s="4" t="n">
        <f aca="false">ROUND(INDEX(Règles!$C$5:$C$9,MATCH($D94,Règles!$A$5:$A$9,0))*$M94*$K94,0)</f>
        <v>10</v>
      </c>
      <c r="H94" s="4" t="n">
        <f aca="false">ROUND(INDEX(Règles!$C$5:$C$9,MATCH($D94,Règles!$A$5:$A$9,0))*$M94*$L94,0)</f>
        <v>10</v>
      </c>
      <c r="I94" s="28" t="n">
        <f aca="false">F94/Règles!$C$12+G94+H94</f>
        <v>30.8</v>
      </c>
      <c r="J94" s="29" t="n">
        <v>0.359</v>
      </c>
      <c r="K94" s="29" t="n">
        <v>0.32</v>
      </c>
      <c r="L94" s="29" t="n">
        <v>0.321</v>
      </c>
      <c r="M94" s="30" t="n">
        <v>1.008</v>
      </c>
    </row>
    <row r="95" customFormat="false" ht="15" hidden="false" customHeight="true" outlineLevel="0" collapsed="false">
      <c r="A95" s="3" t="n">
        <v>94</v>
      </c>
      <c r="B95" s="4" t="s">
        <v>216</v>
      </c>
      <c r="C95" s="4" t="s">
        <v>9</v>
      </c>
      <c r="D95" s="10" t="s">
        <v>199</v>
      </c>
      <c r="E95" s="4" t="s">
        <v>339</v>
      </c>
      <c r="F95" s="4" t="n">
        <f aca="false">ROUND(INDEX(Règles!$C$5:$C$9,MATCH($D95,Règles!$A$5:$A$9,0))*$M95*$J95*Règles!$C$12,0)</f>
        <v>33</v>
      </c>
      <c r="G95" s="4" t="n">
        <f aca="false">ROUND(INDEX(Règles!$C$5:$C$9,MATCH($D95,Règles!$A$5:$A$9,0))*$M95*$K95,0)</f>
        <v>15</v>
      </c>
      <c r="H95" s="4" t="n">
        <f aca="false">ROUND(INDEX(Règles!$C$5:$C$9,MATCH($D95,Règles!$A$5:$A$9,0))*$M95*$L95,0)</f>
        <v>8</v>
      </c>
      <c r="I95" s="28" t="n">
        <f aca="false">F95/Règles!$C$12+G95+H95</f>
        <v>29.6</v>
      </c>
      <c r="J95" s="29" t="n">
        <v>0.223</v>
      </c>
      <c r="K95" s="29" t="n">
        <v>0.508</v>
      </c>
      <c r="L95" s="29" t="n">
        <v>0.269</v>
      </c>
      <c r="M95" s="30" t="n">
        <v>0.972</v>
      </c>
    </row>
    <row r="96" customFormat="false" ht="15" hidden="false" customHeight="true" outlineLevel="0" collapsed="false">
      <c r="A96" s="3" t="n">
        <v>95</v>
      </c>
      <c r="B96" s="4" t="s">
        <v>285</v>
      </c>
      <c r="C96" s="4" t="s">
        <v>23</v>
      </c>
      <c r="D96" s="10" t="s">
        <v>199</v>
      </c>
      <c r="E96" s="4" t="s">
        <v>340</v>
      </c>
      <c r="F96" s="4" t="n">
        <f aca="false">ROUND(INDEX(Règles!$C$5:$C$9,MATCH($D96,Règles!$A$5:$A$9,0))*$M96*$J96*Règles!$C$12,0)</f>
        <v>47</v>
      </c>
      <c r="G96" s="4" t="n">
        <f aca="false">ROUND(INDEX(Règles!$C$5:$C$9,MATCH($D96,Règles!$A$5:$A$9,0))*$M96*$K96,0)</f>
        <v>6</v>
      </c>
      <c r="H96" s="4" t="n">
        <f aca="false">ROUND(INDEX(Règles!$C$5:$C$9,MATCH($D96,Règles!$A$5:$A$9,0))*$M96*$L96,0)</f>
        <v>15</v>
      </c>
      <c r="I96" s="28" t="n">
        <f aca="false">F96/Règles!$C$12+G96+H96</f>
        <v>30.4</v>
      </c>
      <c r="J96" s="29" t="n">
        <v>0.309</v>
      </c>
      <c r="K96" s="29" t="n">
        <v>0.197</v>
      </c>
      <c r="L96" s="29" t="n">
        <v>0.494</v>
      </c>
      <c r="M96" s="30" t="n">
        <v>1.017</v>
      </c>
    </row>
    <row r="97" customFormat="false" ht="15" hidden="false" customHeight="true" outlineLevel="0" collapsed="false">
      <c r="A97" s="3" t="n">
        <v>96</v>
      </c>
      <c r="B97" s="4" t="s">
        <v>256</v>
      </c>
      <c r="C97" s="4" t="s">
        <v>9</v>
      </c>
      <c r="D97" s="10" t="s">
        <v>199</v>
      </c>
      <c r="E97" s="4" t="s">
        <v>341</v>
      </c>
      <c r="F97" s="4" t="n">
        <f aca="false">ROUND(INDEX(Règles!$C$5:$C$9,MATCH($D97,Règles!$A$5:$A$9,0))*$M97*$J97*Règles!$C$12,0)</f>
        <v>85</v>
      </c>
      <c r="G97" s="4" t="n">
        <f aca="false">ROUND(INDEX(Règles!$C$5:$C$9,MATCH($D97,Règles!$A$5:$A$9,0))*$M97*$K97,0)</f>
        <v>8</v>
      </c>
      <c r="H97" s="4" t="n">
        <f aca="false">ROUND(INDEX(Règles!$C$5:$C$9,MATCH($D97,Règles!$A$5:$A$9,0))*$M97*$L97,0)</f>
        <v>5</v>
      </c>
      <c r="I97" s="28" t="n">
        <f aca="false">F97/Règles!$C$12+G97+H97</f>
        <v>30</v>
      </c>
      <c r="J97" s="29" t="n">
        <v>0.566</v>
      </c>
      <c r="K97" s="29" t="n">
        <v>0.255</v>
      </c>
      <c r="L97" s="29" t="n">
        <v>0.179</v>
      </c>
      <c r="M97" s="30" t="n">
        <v>1.001</v>
      </c>
    </row>
    <row r="98" customFormat="false" ht="15" hidden="false" customHeight="true" outlineLevel="0" collapsed="false">
      <c r="A98" s="3" t="n">
        <v>97</v>
      </c>
      <c r="B98" s="4" t="s">
        <v>290</v>
      </c>
      <c r="C98" s="4" t="s">
        <v>23</v>
      </c>
      <c r="D98" s="10" t="s">
        <v>199</v>
      </c>
      <c r="E98" s="4" t="s">
        <v>338</v>
      </c>
      <c r="F98" s="4" t="n">
        <f aca="false">ROUND(INDEX(Règles!$C$5:$C$9,MATCH($D98,Règles!$A$5:$A$9,0))*$M98*$J98*Règles!$C$12,0)</f>
        <v>51</v>
      </c>
      <c r="G98" s="4" t="n">
        <f aca="false">ROUND(INDEX(Règles!$C$5:$C$9,MATCH($D98,Règles!$A$5:$A$9,0))*$M98*$K98,0)</f>
        <v>10</v>
      </c>
      <c r="H98" s="4" t="n">
        <f aca="false">ROUND(INDEX(Règles!$C$5:$C$9,MATCH($D98,Règles!$A$5:$A$9,0))*$M98*$L98,0)</f>
        <v>9</v>
      </c>
      <c r="I98" s="28" t="n">
        <f aca="false">F98/Règles!$C$12+G98+H98</f>
        <v>29.2</v>
      </c>
      <c r="J98" s="29" t="n">
        <v>0.348</v>
      </c>
      <c r="K98" s="29" t="n">
        <v>0.336</v>
      </c>
      <c r="L98" s="29" t="n">
        <v>0.316</v>
      </c>
      <c r="M98" s="30" t="n">
        <v>0.978</v>
      </c>
    </row>
    <row r="99" customFormat="false" ht="15" hidden="false" customHeight="true" outlineLevel="0" collapsed="false">
      <c r="A99" s="3" t="n">
        <v>98</v>
      </c>
      <c r="B99" s="4" t="s">
        <v>261</v>
      </c>
      <c r="C99" s="4" t="s">
        <v>9</v>
      </c>
      <c r="D99" s="10" t="s">
        <v>199</v>
      </c>
      <c r="E99" s="4" t="s">
        <v>339</v>
      </c>
      <c r="F99" s="4" t="n">
        <f aca="false">ROUND(INDEX(Règles!$C$5:$C$9,MATCH($D99,Règles!$A$5:$A$9,0))*$M99*$J99*Règles!$C$12,0)</f>
        <v>38</v>
      </c>
      <c r="G99" s="4" t="n">
        <f aca="false">ROUND(INDEX(Règles!$C$5:$C$9,MATCH($D99,Règles!$A$5:$A$9,0))*$M99*$K99,0)</f>
        <v>14</v>
      </c>
      <c r="H99" s="4" t="n">
        <f aca="false">ROUND(INDEX(Règles!$C$5:$C$9,MATCH($D99,Règles!$A$5:$A$9,0))*$M99*$L99,0)</f>
        <v>8</v>
      </c>
      <c r="I99" s="28" t="n">
        <f aca="false">F99/Règles!$C$12+G99+H99</f>
        <v>29.6</v>
      </c>
      <c r="J99" s="29" t="n">
        <v>0.255</v>
      </c>
      <c r="K99" s="29" t="n">
        <v>0.48</v>
      </c>
      <c r="L99" s="29" t="n">
        <v>0.265</v>
      </c>
      <c r="M99" s="30" t="n">
        <v>0.997</v>
      </c>
    </row>
    <row r="100" customFormat="false" ht="15" hidden="false" customHeight="true" outlineLevel="0" collapsed="false">
      <c r="A100" s="3" t="n">
        <v>99</v>
      </c>
      <c r="B100" s="4" t="s">
        <v>257</v>
      </c>
      <c r="C100" s="4" t="s">
        <v>9</v>
      </c>
      <c r="D100" s="10" t="s">
        <v>199</v>
      </c>
      <c r="E100" s="4" t="s">
        <v>340</v>
      </c>
      <c r="F100" s="4" t="n">
        <f aca="false">ROUND(INDEX(Règles!$C$5:$C$9,MATCH($D100,Règles!$A$5:$A$9,0))*$M100*$J100*Règles!$C$12,0)</f>
        <v>45</v>
      </c>
      <c r="G100" s="4" t="n">
        <f aca="false">ROUND(INDEX(Règles!$C$5:$C$9,MATCH($D100,Règles!$A$5:$A$9,0))*$M100*$K100,0)</f>
        <v>6</v>
      </c>
      <c r="H100" s="4" t="n">
        <f aca="false">ROUND(INDEX(Règles!$C$5:$C$9,MATCH($D100,Règles!$A$5:$A$9,0))*$M100*$L100,0)</f>
        <v>15</v>
      </c>
      <c r="I100" s="28" t="n">
        <f aca="false">F100/Règles!$C$12+G100+H100</f>
        <v>30</v>
      </c>
      <c r="J100" s="29" t="n">
        <v>0.295</v>
      </c>
      <c r="K100" s="29" t="n">
        <v>0.198</v>
      </c>
      <c r="L100" s="29" t="n">
        <v>0.507</v>
      </c>
      <c r="M100" s="30" t="n">
        <v>1.01</v>
      </c>
    </row>
    <row r="101" customFormat="false" ht="15" hidden="false" customHeight="true" outlineLevel="0" collapsed="false">
      <c r="A101" s="3" t="n">
        <v>100</v>
      </c>
      <c r="B101" s="4" t="s">
        <v>275</v>
      </c>
      <c r="C101" s="4" t="s">
        <v>9</v>
      </c>
      <c r="D101" s="10" t="s">
        <v>199</v>
      </c>
      <c r="E101" s="4" t="s">
        <v>341</v>
      </c>
      <c r="F101" s="4" t="n">
        <f aca="false">ROUND(INDEX(Règles!$C$5:$C$9,MATCH($D101,Règles!$A$5:$A$9,0))*$M101*$J101*Règles!$C$12,0)</f>
        <v>82</v>
      </c>
      <c r="G101" s="4" t="n">
        <f aca="false">ROUND(INDEX(Règles!$C$5:$C$9,MATCH($D101,Règles!$A$5:$A$9,0))*$M101*$K101,0)</f>
        <v>7</v>
      </c>
      <c r="H101" s="4" t="n">
        <f aca="false">ROUND(INDEX(Règles!$C$5:$C$9,MATCH($D101,Règles!$A$5:$A$9,0))*$M101*$L101,0)</f>
        <v>6</v>
      </c>
      <c r="I101" s="28" t="n">
        <f aca="false">F101/Règles!$C$12+G101+H101</f>
        <v>29.4</v>
      </c>
      <c r="J101" s="29" t="n">
        <v>0.547</v>
      </c>
      <c r="K101" s="29" t="n">
        <v>0.239</v>
      </c>
      <c r="L101" s="29" t="n">
        <v>0.214</v>
      </c>
      <c r="M101" s="30" t="n">
        <v>0.998</v>
      </c>
    </row>
    <row r="102" customFormat="false" ht="15" hidden="false" customHeight="true" outlineLevel="0" collapsed="false">
      <c r="A102" s="3" t="n">
        <v>101</v>
      </c>
      <c r="B102" s="4" t="s">
        <v>229</v>
      </c>
      <c r="C102" s="4" t="s">
        <v>9</v>
      </c>
      <c r="D102" s="10" t="s">
        <v>199</v>
      </c>
      <c r="E102" s="4" t="s">
        <v>338</v>
      </c>
      <c r="F102" s="4" t="n">
        <f aca="false">ROUND(INDEX(Règles!$C$5:$C$9,MATCH($D102,Règles!$A$5:$A$9,0))*$M102*$J102*Règles!$C$12,0)</f>
        <v>49</v>
      </c>
      <c r="G102" s="4" t="n">
        <f aca="false">ROUND(INDEX(Règles!$C$5:$C$9,MATCH($D102,Règles!$A$5:$A$9,0))*$M102*$K102,0)</f>
        <v>10</v>
      </c>
      <c r="H102" s="4" t="n">
        <f aca="false">ROUND(INDEX(Règles!$C$5:$C$9,MATCH($D102,Règles!$A$5:$A$9,0))*$M102*$L102,0)</f>
        <v>10</v>
      </c>
      <c r="I102" s="28" t="n">
        <f aca="false">F102/Règles!$C$12+G102+H102</f>
        <v>29.8</v>
      </c>
      <c r="J102" s="29" t="n">
        <v>0.327</v>
      </c>
      <c r="K102" s="29" t="n">
        <v>0.345</v>
      </c>
      <c r="L102" s="29" t="n">
        <v>0.328</v>
      </c>
      <c r="M102" s="30" t="n">
        <v>1.002</v>
      </c>
    </row>
    <row r="103" customFormat="false" ht="15" hidden="false" customHeight="true" outlineLevel="0" collapsed="false">
      <c r="A103" s="3" t="n">
        <v>102</v>
      </c>
      <c r="B103" s="4" t="s">
        <v>305</v>
      </c>
      <c r="C103" s="4" t="s">
        <v>23</v>
      </c>
      <c r="D103" s="10" t="s">
        <v>199</v>
      </c>
      <c r="E103" s="4" t="s">
        <v>339</v>
      </c>
      <c r="F103" s="4" t="n">
        <f aca="false">ROUND(INDEX(Règles!$C$5:$C$9,MATCH($D103,Règles!$A$5:$A$9,0))*$M103*$J103*Règles!$C$12,0)</f>
        <v>36</v>
      </c>
      <c r="G103" s="4" t="n">
        <f aca="false">ROUND(INDEX(Règles!$C$5:$C$9,MATCH($D103,Règles!$A$5:$A$9,0))*$M103*$K103,0)</f>
        <v>16</v>
      </c>
      <c r="H103" s="4" t="n">
        <f aca="false">ROUND(INDEX(Règles!$C$5:$C$9,MATCH($D103,Règles!$A$5:$A$9,0))*$M103*$L103,0)</f>
        <v>7</v>
      </c>
      <c r="I103" s="28" t="n">
        <f aca="false">F103/Règles!$C$12+G103+H103</f>
        <v>30.2</v>
      </c>
      <c r="J103" s="29" t="n">
        <v>0.242</v>
      </c>
      <c r="K103" s="29" t="n">
        <v>0.521</v>
      </c>
      <c r="L103" s="29" t="n">
        <v>0.237</v>
      </c>
      <c r="M103" s="30" t="n">
        <v>1.005</v>
      </c>
    </row>
    <row r="104" customFormat="false" ht="15" hidden="false" customHeight="true" outlineLevel="0" collapsed="false">
      <c r="A104" s="3" t="n">
        <v>103</v>
      </c>
      <c r="B104" s="4" t="s">
        <v>308</v>
      </c>
      <c r="C104" s="4" t="s">
        <v>23</v>
      </c>
      <c r="D104" s="10" t="s">
        <v>199</v>
      </c>
      <c r="E104" s="4" t="s">
        <v>340</v>
      </c>
      <c r="F104" s="4" t="n">
        <f aca="false">ROUND(INDEX(Règles!$C$5:$C$9,MATCH($D104,Règles!$A$5:$A$9,0))*$M104*$J104*Règles!$C$12,0)</f>
        <v>41</v>
      </c>
      <c r="G104" s="4" t="n">
        <f aca="false">ROUND(INDEX(Règles!$C$5:$C$9,MATCH($D104,Règles!$A$5:$A$9,0))*$M104*$K104,0)</f>
        <v>7</v>
      </c>
      <c r="H104" s="4" t="n">
        <f aca="false">ROUND(INDEX(Règles!$C$5:$C$9,MATCH($D104,Règles!$A$5:$A$9,0))*$M104*$L104,0)</f>
        <v>15</v>
      </c>
      <c r="I104" s="28" t="n">
        <f aca="false">F104/Règles!$C$12+G104+H104</f>
        <v>30.2</v>
      </c>
      <c r="J104" s="29" t="n">
        <v>0.273</v>
      </c>
      <c r="K104" s="29" t="n">
        <v>0.225</v>
      </c>
      <c r="L104" s="29" t="n">
        <v>0.502</v>
      </c>
      <c r="M104" s="30" t="n">
        <v>0.993</v>
      </c>
    </row>
    <row r="105" customFormat="false" ht="15" hidden="false" customHeight="true" outlineLevel="0" collapsed="false">
      <c r="A105" s="3" t="n">
        <v>104</v>
      </c>
      <c r="B105" s="4" t="s">
        <v>232</v>
      </c>
      <c r="C105" s="4" t="s">
        <v>9</v>
      </c>
      <c r="D105" s="10" t="s">
        <v>199</v>
      </c>
      <c r="E105" s="4" t="s">
        <v>341</v>
      </c>
      <c r="F105" s="4" t="n">
        <f aca="false">ROUND(INDEX(Règles!$C$5:$C$9,MATCH($D105,Règles!$A$5:$A$9,0))*$M105*$J105*Règles!$C$12,0)</f>
        <v>83</v>
      </c>
      <c r="G105" s="4" t="n">
        <f aca="false">ROUND(INDEX(Règles!$C$5:$C$9,MATCH($D105,Règles!$A$5:$A$9,0))*$M105*$K105,0)</f>
        <v>8</v>
      </c>
      <c r="H105" s="4" t="n">
        <f aca="false">ROUND(INDEX(Règles!$C$5:$C$9,MATCH($D105,Règles!$A$5:$A$9,0))*$M105*$L105,0)</f>
        <v>6</v>
      </c>
      <c r="I105" s="28" t="n">
        <f aca="false">F105/Règles!$C$12+G105+H105</f>
        <v>30.6</v>
      </c>
      <c r="J105" s="29" t="n">
        <v>0.553</v>
      </c>
      <c r="K105" s="29" t="n">
        <v>0.252</v>
      </c>
      <c r="L105" s="29" t="n">
        <v>0.195</v>
      </c>
      <c r="M105" s="30" t="n">
        <v>0.999</v>
      </c>
    </row>
    <row r="106" customFormat="false" ht="15" hidden="false" customHeight="true" outlineLevel="0" collapsed="false">
      <c r="A106" s="3" t="n">
        <v>105</v>
      </c>
      <c r="B106" s="4" t="s">
        <v>244</v>
      </c>
      <c r="C106" s="4" t="s">
        <v>9</v>
      </c>
      <c r="D106" s="10" t="s">
        <v>199</v>
      </c>
      <c r="E106" s="4" t="s">
        <v>338</v>
      </c>
      <c r="F106" s="4" t="n">
        <f aca="false">ROUND(INDEX(Règles!$C$5:$C$9,MATCH($D106,Règles!$A$5:$A$9,0))*$M106*$J106*Règles!$C$12,0)</f>
        <v>47</v>
      </c>
      <c r="G106" s="4" t="n">
        <f aca="false">ROUND(INDEX(Règles!$C$5:$C$9,MATCH($D106,Règles!$A$5:$A$9,0))*$M106*$K106,0)</f>
        <v>11</v>
      </c>
      <c r="H106" s="4" t="n">
        <f aca="false">ROUND(INDEX(Règles!$C$5:$C$9,MATCH($D106,Règles!$A$5:$A$9,0))*$M106*$L106,0)</f>
        <v>9</v>
      </c>
      <c r="I106" s="28" t="n">
        <f aca="false">F106/Règles!$C$12+G106+H106</f>
        <v>29.4</v>
      </c>
      <c r="J106" s="29" t="n">
        <v>0.32</v>
      </c>
      <c r="K106" s="29" t="n">
        <v>0.364</v>
      </c>
      <c r="L106" s="29" t="n">
        <v>0.316</v>
      </c>
      <c r="M106" s="30" t="n">
        <v>0.976</v>
      </c>
    </row>
    <row r="107" customFormat="false" ht="15" hidden="false" customHeight="true" outlineLevel="0" collapsed="false">
      <c r="A107" s="3" t="n">
        <v>106</v>
      </c>
      <c r="B107" s="4" t="s">
        <v>213</v>
      </c>
      <c r="C107" s="4" t="s">
        <v>9</v>
      </c>
      <c r="D107" s="10" t="s">
        <v>199</v>
      </c>
      <c r="E107" s="4" t="s">
        <v>339</v>
      </c>
      <c r="F107" s="4" t="n">
        <f aca="false">ROUND(INDEX(Règles!$C$5:$C$9,MATCH($D107,Règles!$A$5:$A$9,0))*$M107*$J107*Règles!$C$12,0)</f>
        <v>36</v>
      </c>
      <c r="G107" s="4" t="n">
        <f aca="false">ROUND(INDEX(Règles!$C$5:$C$9,MATCH($D107,Règles!$A$5:$A$9,0))*$M107*$K107,0)</f>
        <v>16</v>
      </c>
      <c r="H107" s="4" t="n">
        <f aca="false">ROUND(INDEX(Règles!$C$5:$C$9,MATCH($D107,Règles!$A$5:$A$9,0))*$M107*$L107,0)</f>
        <v>8</v>
      </c>
      <c r="I107" s="28" t="n">
        <f aca="false">F107/Règles!$C$12+G107+H107</f>
        <v>31.2</v>
      </c>
      <c r="J107" s="29" t="n">
        <v>0.234</v>
      </c>
      <c r="K107" s="29" t="n">
        <v>0.521</v>
      </c>
      <c r="L107" s="29" t="n">
        <v>0.245</v>
      </c>
      <c r="M107" s="30" t="n">
        <v>1.028</v>
      </c>
    </row>
    <row r="108" customFormat="false" ht="15" hidden="false" customHeight="true" outlineLevel="0" collapsed="false">
      <c r="A108" s="3" t="n">
        <v>107</v>
      </c>
      <c r="B108" s="4" t="s">
        <v>307</v>
      </c>
      <c r="C108" s="4" t="s">
        <v>23</v>
      </c>
      <c r="D108" s="10" t="s">
        <v>199</v>
      </c>
      <c r="E108" s="4" t="s">
        <v>340</v>
      </c>
      <c r="F108" s="4" t="n">
        <f aca="false">ROUND(INDEX(Règles!$C$5:$C$9,MATCH($D108,Règles!$A$5:$A$9,0))*$M108*$J108*Règles!$C$12,0)</f>
        <v>46</v>
      </c>
      <c r="G108" s="4" t="n">
        <f aca="false">ROUND(INDEX(Règles!$C$5:$C$9,MATCH($D108,Règles!$A$5:$A$9,0))*$M108*$K108,0)</f>
        <v>5</v>
      </c>
      <c r="H108" s="4" t="n">
        <f aca="false">ROUND(INDEX(Règles!$C$5:$C$9,MATCH($D108,Règles!$A$5:$A$9,0))*$M108*$L108,0)</f>
        <v>15</v>
      </c>
      <c r="I108" s="28" t="n">
        <f aca="false">F108/Règles!$C$12+G108+H108</f>
        <v>29.2</v>
      </c>
      <c r="J108" s="29" t="n">
        <v>0.316</v>
      </c>
      <c r="K108" s="29" t="n">
        <v>0.175</v>
      </c>
      <c r="L108" s="29" t="n">
        <v>0.509</v>
      </c>
      <c r="M108" s="30" t="n">
        <v>0.977</v>
      </c>
    </row>
    <row r="109" customFormat="false" ht="15" hidden="false" customHeight="true" outlineLevel="0" collapsed="false">
      <c r="A109" s="3" t="n">
        <v>108</v>
      </c>
      <c r="B109" s="4" t="s">
        <v>225</v>
      </c>
      <c r="C109" s="4" t="s">
        <v>9</v>
      </c>
      <c r="D109" s="10" t="s">
        <v>199</v>
      </c>
      <c r="E109" s="4" t="s">
        <v>341</v>
      </c>
      <c r="F109" s="4" t="n">
        <f aca="false">ROUND(INDEX(Règles!$C$5:$C$9,MATCH($D109,Règles!$A$5:$A$9,0))*$M109*$J109*Règles!$C$12,0)</f>
        <v>80</v>
      </c>
      <c r="G109" s="4" t="n">
        <f aca="false">ROUND(INDEX(Règles!$C$5:$C$9,MATCH($D109,Règles!$A$5:$A$9,0))*$M109*$K109,0)</f>
        <v>8</v>
      </c>
      <c r="H109" s="4" t="n">
        <f aca="false">ROUND(INDEX(Règles!$C$5:$C$9,MATCH($D109,Règles!$A$5:$A$9,0))*$M109*$L109,0)</f>
        <v>6</v>
      </c>
      <c r="I109" s="28" t="n">
        <f aca="false">F109/Règles!$C$12+G109+H109</f>
        <v>30</v>
      </c>
      <c r="J109" s="29" t="n">
        <v>0.542</v>
      </c>
      <c r="K109" s="29" t="n">
        <v>0.258</v>
      </c>
      <c r="L109" s="29" t="n">
        <v>0.2</v>
      </c>
      <c r="M109" s="30" t="n">
        <v>0.988</v>
      </c>
    </row>
    <row r="110" customFormat="false" ht="15" hidden="false" customHeight="true" outlineLevel="0" collapsed="false">
      <c r="A110" s="3" t="n">
        <v>109</v>
      </c>
      <c r="B110" s="4" t="s">
        <v>271</v>
      </c>
      <c r="C110" s="4" t="s">
        <v>9</v>
      </c>
      <c r="D110" s="10" t="s">
        <v>199</v>
      </c>
      <c r="E110" s="4" t="s">
        <v>338</v>
      </c>
      <c r="F110" s="4" t="n">
        <f aca="false">ROUND(INDEX(Règles!$C$5:$C$9,MATCH($D110,Règles!$A$5:$A$9,0))*$M110*$J110*Règles!$C$12,0)</f>
        <v>51</v>
      </c>
      <c r="G110" s="4" t="n">
        <f aca="false">ROUND(INDEX(Règles!$C$5:$C$9,MATCH($D110,Règles!$A$5:$A$9,0))*$M110*$K110,0)</f>
        <v>10</v>
      </c>
      <c r="H110" s="4" t="n">
        <f aca="false">ROUND(INDEX(Règles!$C$5:$C$9,MATCH($D110,Règles!$A$5:$A$9,0))*$M110*$L110,0)</f>
        <v>11</v>
      </c>
      <c r="I110" s="28" t="n">
        <f aca="false">F110/Règles!$C$12+G110+H110</f>
        <v>31.2</v>
      </c>
      <c r="J110" s="29" t="n">
        <v>0.334</v>
      </c>
      <c r="K110" s="29" t="n">
        <v>0.316</v>
      </c>
      <c r="L110" s="29" t="n">
        <v>0.35</v>
      </c>
      <c r="M110" s="30" t="n">
        <v>1.011</v>
      </c>
    </row>
    <row r="111" customFormat="false" ht="15" hidden="false" customHeight="true" outlineLevel="0" collapsed="false">
      <c r="A111" s="3" t="n">
        <v>110</v>
      </c>
      <c r="B111" s="4" t="s">
        <v>233</v>
      </c>
      <c r="C111" s="4" t="s">
        <v>9</v>
      </c>
      <c r="D111" s="10" t="s">
        <v>199</v>
      </c>
      <c r="E111" s="4" t="s">
        <v>339</v>
      </c>
      <c r="F111" s="4" t="n">
        <f aca="false">ROUND(INDEX(Règles!$C$5:$C$9,MATCH($D111,Règles!$A$5:$A$9,0))*$M111*$J111*Règles!$C$12,0)</f>
        <v>36</v>
      </c>
      <c r="G111" s="4" t="n">
        <f aca="false">ROUND(INDEX(Règles!$C$5:$C$9,MATCH($D111,Règles!$A$5:$A$9,0))*$M111*$K111,0)</f>
        <v>15</v>
      </c>
      <c r="H111" s="4" t="n">
        <f aca="false">ROUND(INDEX(Règles!$C$5:$C$9,MATCH($D111,Règles!$A$5:$A$9,0))*$M111*$L111,0)</f>
        <v>8</v>
      </c>
      <c r="I111" s="28" t="n">
        <f aca="false">F111/Règles!$C$12+G111+H111</f>
        <v>30.2</v>
      </c>
      <c r="J111" s="29" t="n">
        <v>0.24</v>
      </c>
      <c r="K111" s="29" t="n">
        <v>0.493</v>
      </c>
      <c r="L111" s="29" t="n">
        <v>0.267</v>
      </c>
      <c r="M111" s="30" t="n">
        <v>0.995</v>
      </c>
    </row>
    <row r="112" customFormat="false" ht="15" hidden="false" customHeight="true" outlineLevel="0" collapsed="false">
      <c r="A112" s="3" t="n">
        <v>111</v>
      </c>
      <c r="B112" s="4" t="s">
        <v>220</v>
      </c>
      <c r="C112" s="4" t="s">
        <v>9</v>
      </c>
      <c r="D112" s="10" t="s">
        <v>199</v>
      </c>
      <c r="E112" s="4" t="s">
        <v>340</v>
      </c>
      <c r="F112" s="4" t="n">
        <f aca="false">ROUND(INDEX(Règles!$C$5:$C$9,MATCH($D112,Règles!$A$5:$A$9,0))*$M112*$J112*Règles!$C$12,0)</f>
        <v>46</v>
      </c>
      <c r="G112" s="4" t="n">
        <f aca="false">ROUND(INDEX(Règles!$C$5:$C$9,MATCH($D112,Règles!$A$5:$A$9,0))*$M112*$K112,0)</f>
        <v>6</v>
      </c>
      <c r="H112" s="4" t="n">
        <f aca="false">ROUND(INDEX(Règles!$C$5:$C$9,MATCH($D112,Règles!$A$5:$A$9,0))*$M112*$L112,0)</f>
        <v>15</v>
      </c>
      <c r="I112" s="28" t="n">
        <f aca="false">F112/Règles!$C$12+G112+H112</f>
        <v>30.2</v>
      </c>
      <c r="J112" s="29" t="n">
        <v>0.299</v>
      </c>
      <c r="K112" s="29" t="n">
        <v>0.205</v>
      </c>
      <c r="L112" s="29" t="n">
        <v>0.496</v>
      </c>
      <c r="M112" s="30" t="n">
        <v>1.016</v>
      </c>
    </row>
    <row r="113" customFormat="false" ht="15" hidden="false" customHeight="true" outlineLevel="0" collapsed="false">
      <c r="A113" s="3" t="n">
        <v>112</v>
      </c>
      <c r="B113" s="4" t="s">
        <v>210</v>
      </c>
      <c r="C113" s="4" t="s">
        <v>9</v>
      </c>
      <c r="D113" s="10" t="s">
        <v>199</v>
      </c>
      <c r="E113" s="4" t="s">
        <v>341</v>
      </c>
      <c r="F113" s="4" t="n">
        <f aca="false">ROUND(INDEX(Règles!$C$5:$C$9,MATCH($D113,Règles!$A$5:$A$9,0))*$M113*$J113*Règles!$C$12,0)</f>
        <v>80</v>
      </c>
      <c r="G113" s="4" t="n">
        <f aca="false">ROUND(INDEX(Règles!$C$5:$C$9,MATCH($D113,Règles!$A$5:$A$9,0))*$M113*$K113,0)</f>
        <v>7</v>
      </c>
      <c r="H113" s="4" t="n">
        <f aca="false">ROUND(INDEX(Règles!$C$5:$C$9,MATCH($D113,Règles!$A$5:$A$9,0))*$M113*$L113,0)</f>
        <v>6</v>
      </c>
      <c r="I113" s="28" t="n">
        <f aca="false">F113/Règles!$C$12+G113+H113</f>
        <v>29</v>
      </c>
      <c r="J113" s="29" t="n">
        <v>0.55</v>
      </c>
      <c r="K113" s="29" t="n">
        <v>0.253</v>
      </c>
      <c r="L113" s="29" t="n">
        <v>0.197</v>
      </c>
      <c r="M113" s="30" t="n">
        <v>0.971</v>
      </c>
    </row>
    <row r="114" customFormat="false" ht="15" hidden="false" customHeight="true" outlineLevel="0" collapsed="false">
      <c r="A114" s="3" t="n">
        <v>113</v>
      </c>
      <c r="B114" s="4" t="s">
        <v>279</v>
      </c>
      <c r="C114" s="4" t="s">
        <v>23</v>
      </c>
      <c r="D114" s="10" t="s">
        <v>199</v>
      </c>
      <c r="E114" s="4" t="s">
        <v>338</v>
      </c>
      <c r="F114" s="4" t="n">
        <f aca="false">ROUND(INDEX(Règles!$C$5:$C$9,MATCH($D114,Règles!$A$5:$A$9,0))*$M114*$J114*Règles!$C$12,0)</f>
        <v>55</v>
      </c>
      <c r="G114" s="4" t="n">
        <f aca="false">ROUND(INDEX(Règles!$C$5:$C$9,MATCH($D114,Règles!$A$5:$A$9,0))*$M114*$K114,0)</f>
        <v>10</v>
      </c>
      <c r="H114" s="4" t="n">
        <f aca="false">ROUND(INDEX(Règles!$C$5:$C$9,MATCH($D114,Règles!$A$5:$A$9,0))*$M114*$L114,0)</f>
        <v>9</v>
      </c>
      <c r="I114" s="28" t="n">
        <f aca="false">F114/Règles!$C$12+G114+H114</f>
        <v>30</v>
      </c>
      <c r="J114" s="29" t="n">
        <v>0.37</v>
      </c>
      <c r="K114" s="29" t="n">
        <v>0.326</v>
      </c>
      <c r="L114" s="29" t="n">
        <v>0.304</v>
      </c>
      <c r="M114" s="30" t="n">
        <v>0.998</v>
      </c>
    </row>
    <row r="115" customFormat="false" ht="15" hidden="false" customHeight="true" outlineLevel="0" collapsed="false">
      <c r="A115" s="3" t="n">
        <v>114</v>
      </c>
      <c r="B115" s="4" t="s">
        <v>243</v>
      </c>
      <c r="C115" s="4" t="s">
        <v>9</v>
      </c>
      <c r="D115" s="10" t="s">
        <v>199</v>
      </c>
      <c r="E115" s="4" t="s">
        <v>339</v>
      </c>
      <c r="F115" s="4" t="n">
        <f aca="false">ROUND(INDEX(Règles!$C$5:$C$9,MATCH($D115,Règles!$A$5:$A$9,0))*$M115*$J115*Règles!$C$12,0)</f>
        <v>35</v>
      </c>
      <c r="G115" s="4" t="n">
        <f aca="false">ROUND(INDEX(Règles!$C$5:$C$9,MATCH($D115,Règles!$A$5:$A$9,0))*$M115*$K115,0)</f>
        <v>15</v>
      </c>
      <c r="H115" s="4" t="n">
        <f aca="false">ROUND(INDEX(Règles!$C$5:$C$9,MATCH($D115,Règles!$A$5:$A$9,0))*$M115*$L115,0)</f>
        <v>8</v>
      </c>
      <c r="I115" s="28" t="n">
        <f aca="false">F115/Règles!$C$12+G115+H115</f>
        <v>30</v>
      </c>
      <c r="J115" s="29" t="n">
        <v>0.237</v>
      </c>
      <c r="K115" s="29" t="n">
        <v>0.502</v>
      </c>
      <c r="L115" s="29" t="n">
        <v>0.261</v>
      </c>
      <c r="M115" s="30" t="n">
        <v>0.986</v>
      </c>
    </row>
    <row r="116" customFormat="false" ht="15" hidden="false" customHeight="true" outlineLevel="0" collapsed="false">
      <c r="A116" s="3" t="n">
        <v>115</v>
      </c>
      <c r="B116" s="4" t="s">
        <v>283</v>
      </c>
      <c r="C116" s="4" t="s">
        <v>23</v>
      </c>
      <c r="D116" s="10" t="s">
        <v>199</v>
      </c>
      <c r="E116" s="4" t="s">
        <v>340</v>
      </c>
      <c r="F116" s="4" t="n">
        <f aca="false">ROUND(INDEX(Règles!$C$5:$C$9,MATCH($D116,Règles!$A$5:$A$9,0))*$M116*$J116*Règles!$C$12,0)</f>
        <v>45</v>
      </c>
      <c r="G116" s="4" t="n">
        <f aca="false">ROUND(INDEX(Règles!$C$5:$C$9,MATCH($D116,Règles!$A$5:$A$9,0))*$M116*$K116,0)</f>
        <v>7</v>
      </c>
      <c r="H116" s="4" t="n">
        <f aca="false">ROUND(INDEX(Règles!$C$5:$C$9,MATCH($D116,Règles!$A$5:$A$9,0))*$M116*$L116,0)</f>
        <v>15</v>
      </c>
      <c r="I116" s="28" t="n">
        <f aca="false">F116/Règles!$C$12+G116+H116</f>
        <v>31</v>
      </c>
      <c r="J116" s="29" t="n">
        <v>0.301</v>
      </c>
      <c r="K116" s="29" t="n">
        <v>0.218</v>
      </c>
      <c r="L116" s="29" t="n">
        <v>0.481</v>
      </c>
      <c r="M116" s="30" t="n">
        <v>1.006</v>
      </c>
    </row>
    <row r="117" customFormat="false" ht="15" hidden="false" customHeight="true" outlineLevel="0" collapsed="false">
      <c r="A117" s="3" t="n">
        <v>116</v>
      </c>
      <c r="B117" s="4" t="s">
        <v>239</v>
      </c>
      <c r="C117" s="4" t="s">
        <v>9</v>
      </c>
      <c r="D117" s="10" t="s">
        <v>199</v>
      </c>
      <c r="E117" s="4" t="s">
        <v>341</v>
      </c>
      <c r="F117" s="4" t="n">
        <f aca="false">ROUND(INDEX(Règles!$C$5:$C$9,MATCH($D117,Règles!$A$5:$A$9,0))*$M117*$J117*Règles!$C$12,0)</f>
        <v>82</v>
      </c>
      <c r="G117" s="4" t="n">
        <f aca="false">ROUND(INDEX(Règles!$C$5:$C$9,MATCH($D117,Règles!$A$5:$A$9,0))*$M117*$K117,0)</f>
        <v>8</v>
      </c>
      <c r="H117" s="4" t="n">
        <f aca="false">ROUND(INDEX(Règles!$C$5:$C$9,MATCH($D117,Règles!$A$5:$A$9,0))*$M117*$L117,0)</f>
        <v>5</v>
      </c>
      <c r="I117" s="28" t="n">
        <f aca="false">F117/Règles!$C$12+G117+H117</f>
        <v>29.4</v>
      </c>
      <c r="J117" s="29" t="n">
        <v>0.548</v>
      </c>
      <c r="K117" s="29" t="n">
        <v>0.276</v>
      </c>
      <c r="L117" s="29" t="n">
        <v>0.176</v>
      </c>
      <c r="M117" s="30" t="n">
        <v>0.992</v>
      </c>
    </row>
    <row r="118" customFormat="false" ht="15" hidden="false" customHeight="true" outlineLevel="0" collapsed="false">
      <c r="A118" s="3" t="n">
        <v>117</v>
      </c>
      <c r="B118" s="4" t="s">
        <v>299</v>
      </c>
      <c r="C118" s="4" t="s">
        <v>23</v>
      </c>
      <c r="D118" s="10" t="s">
        <v>199</v>
      </c>
      <c r="E118" s="4" t="s">
        <v>338</v>
      </c>
      <c r="F118" s="4" t="n">
        <f aca="false">ROUND(INDEX(Règles!$C$5:$C$9,MATCH($D118,Règles!$A$5:$A$9,0))*$M118*$J118*Règles!$C$12,0)</f>
        <v>51</v>
      </c>
      <c r="G118" s="4" t="n">
        <f aca="false">ROUND(INDEX(Règles!$C$5:$C$9,MATCH($D118,Règles!$A$5:$A$9,0))*$M118*$K118,0)</f>
        <v>10</v>
      </c>
      <c r="H118" s="4" t="n">
        <f aca="false">ROUND(INDEX(Règles!$C$5:$C$9,MATCH($D118,Règles!$A$5:$A$9,0))*$M118*$L118,0)</f>
        <v>10</v>
      </c>
      <c r="I118" s="28" t="n">
        <f aca="false">F118/Règles!$C$12+G118+H118</f>
        <v>30.2</v>
      </c>
      <c r="J118" s="29" t="n">
        <v>0.344</v>
      </c>
      <c r="K118" s="29" t="n">
        <v>0.325</v>
      </c>
      <c r="L118" s="29" t="n">
        <v>0.331</v>
      </c>
      <c r="M118" s="30" t="n">
        <v>0.994</v>
      </c>
    </row>
    <row r="119" customFormat="false" ht="15" hidden="false" customHeight="true" outlineLevel="0" collapsed="false">
      <c r="A119" s="3" t="n">
        <v>118</v>
      </c>
      <c r="B119" s="4" t="s">
        <v>312</v>
      </c>
      <c r="C119" s="4" t="s">
        <v>23</v>
      </c>
      <c r="D119" s="10" t="s">
        <v>199</v>
      </c>
      <c r="E119" s="4" t="s">
        <v>339</v>
      </c>
      <c r="F119" s="4" t="n">
        <f aca="false">ROUND(INDEX(Règles!$C$5:$C$9,MATCH($D119,Règles!$A$5:$A$9,0))*$M119*$J119*Règles!$C$12,0)</f>
        <v>34</v>
      </c>
      <c r="G119" s="4" t="n">
        <f aca="false">ROUND(INDEX(Règles!$C$5:$C$9,MATCH($D119,Règles!$A$5:$A$9,0))*$M119*$K119,0)</f>
        <v>14</v>
      </c>
      <c r="H119" s="4" t="n">
        <f aca="false">ROUND(INDEX(Règles!$C$5:$C$9,MATCH($D119,Règles!$A$5:$A$9,0))*$M119*$L119,0)</f>
        <v>8</v>
      </c>
      <c r="I119" s="28" t="n">
        <f aca="false">F119/Règles!$C$12+G119+H119</f>
        <v>28.8</v>
      </c>
      <c r="J119" s="29" t="n">
        <v>0.231</v>
      </c>
      <c r="K119" s="29" t="n">
        <v>0.485</v>
      </c>
      <c r="L119" s="29" t="n">
        <v>0.284</v>
      </c>
      <c r="M119" s="30" t="n">
        <v>0.994</v>
      </c>
    </row>
    <row r="120" customFormat="false" ht="15" hidden="false" customHeight="true" outlineLevel="0" collapsed="false">
      <c r="A120" s="3" t="n">
        <v>119</v>
      </c>
      <c r="B120" s="4" t="s">
        <v>306</v>
      </c>
      <c r="C120" s="4" t="s">
        <v>23</v>
      </c>
      <c r="D120" s="10" t="s">
        <v>199</v>
      </c>
      <c r="E120" s="4" t="s">
        <v>340</v>
      </c>
      <c r="F120" s="4" t="n">
        <f aca="false">ROUND(INDEX(Règles!$C$5:$C$9,MATCH($D120,Règles!$A$5:$A$9,0))*$M120*$J120*Règles!$C$12,0)</f>
        <v>44</v>
      </c>
      <c r="G120" s="4" t="n">
        <f aca="false">ROUND(INDEX(Règles!$C$5:$C$9,MATCH($D120,Règles!$A$5:$A$9,0))*$M120*$K120,0)</f>
        <v>6</v>
      </c>
      <c r="H120" s="4" t="n">
        <f aca="false">ROUND(INDEX(Règles!$C$5:$C$9,MATCH($D120,Règles!$A$5:$A$9,0))*$M120*$L120,0)</f>
        <v>16</v>
      </c>
      <c r="I120" s="28" t="n">
        <f aca="false">F120/Règles!$C$12+G120+H120</f>
        <v>30.8</v>
      </c>
      <c r="J120" s="29" t="n">
        <v>0.288</v>
      </c>
      <c r="K120" s="29" t="n">
        <v>0.194</v>
      </c>
      <c r="L120" s="29" t="n">
        <v>0.518</v>
      </c>
      <c r="M120" s="30" t="n">
        <v>1.018</v>
      </c>
    </row>
    <row r="121" customFormat="false" ht="15" hidden="false" customHeight="true" outlineLevel="0" collapsed="false">
      <c r="A121" s="3" t="n">
        <v>120</v>
      </c>
      <c r="B121" s="4" t="s">
        <v>207</v>
      </c>
      <c r="C121" s="4" t="s">
        <v>9</v>
      </c>
      <c r="D121" s="10" t="s">
        <v>199</v>
      </c>
      <c r="E121" s="4" t="s">
        <v>341</v>
      </c>
      <c r="F121" s="4" t="n">
        <f aca="false">ROUND(INDEX(Règles!$C$5:$C$9,MATCH($D121,Règles!$A$5:$A$9,0))*$M121*$J121*Règles!$C$12,0)</f>
        <v>81</v>
      </c>
      <c r="G121" s="4" t="n">
        <f aca="false">ROUND(INDEX(Règles!$C$5:$C$9,MATCH($D121,Règles!$A$5:$A$9,0))*$M121*$K121,0)</f>
        <v>8</v>
      </c>
      <c r="H121" s="4" t="n">
        <f aca="false">ROUND(INDEX(Règles!$C$5:$C$9,MATCH($D121,Règles!$A$5:$A$9,0))*$M121*$L121,0)</f>
        <v>5</v>
      </c>
      <c r="I121" s="28" t="n">
        <f aca="false">F121/Règles!$C$12+G121+H121</f>
        <v>29.2</v>
      </c>
      <c r="J121" s="29" t="n">
        <v>0.551</v>
      </c>
      <c r="K121" s="29" t="n">
        <v>0.274</v>
      </c>
      <c r="L121" s="29" t="n">
        <v>0.175</v>
      </c>
      <c r="M121" s="30" t="n">
        <v>0.98</v>
      </c>
    </row>
    <row r="122" customFormat="false" ht="15" hidden="false" customHeight="true" outlineLevel="0" collapsed="false">
      <c r="A122" s="3" t="n">
        <v>121</v>
      </c>
      <c r="B122" s="4" t="s">
        <v>170</v>
      </c>
      <c r="C122" s="4" t="s">
        <v>23</v>
      </c>
      <c r="D122" s="9" t="s">
        <v>108</v>
      </c>
      <c r="E122" s="4" t="s">
        <v>338</v>
      </c>
      <c r="F122" s="4" t="n">
        <f aca="false">ROUND(INDEX(Règles!$C$5:$C$9,MATCH($D122,Règles!$A$5:$A$9,0))*$M122*$J122*Règles!$C$12,0)</f>
        <v>63</v>
      </c>
      <c r="G122" s="4" t="n">
        <f aca="false">ROUND(INDEX(Règles!$C$5:$C$9,MATCH($D122,Règles!$A$5:$A$9,0))*$M122*$K122,0)</f>
        <v>12</v>
      </c>
      <c r="H122" s="4" t="n">
        <f aca="false">ROUND(INDEX(Règles!$C$5:$C$9,MATCH($D122,Règles!$A$5:$A$9,0))*$M122*$L122,0)</f>
        <v>12</v>
      </c>
      <c r="I122" s="28" t="n">
        <f aca="false">F122/Règles!$C$12+G122+H122</f>
        <v>36.6</v>
      </c>
      <c r="J122" s="29" t="n">
        <v>0.343</v>
      </c>
      <c r="K122" s="29" t="n">
        <v>0.335</v>
      </c>
      <c r="L122" s="29" t="n">
        <v>0.322</v>
      </c>
      <c r="M122" s="30" t="n">
        <v>0.991</v>
      </c>
    </row>
    <row r="123" customFormat="false" ht="15" hidden="false" customHeight="true" outlineLevel="0" collapsed="false">
      <c r="A123" s="3" t="n">
        <v>122</v>
      </c>
      <c r="B123" s="4" t="s">
        <v>150</v>
      </c>
      <c r="C123" s="4" t="s">
        <v>9</v>
      </c>
      <c r="D123" s="9" t="s">
        <v>108</v>
      </c>
      <c r="E123" s="4" t="s">
        <v>339</v>
      </c>
      <c r="F123" s="4" t="n">
        <f aca="false">ROUND(INDEX(Règles!$C$5:$C$9,MATCH($D123,Règles!$A$5:$A$9,0))*$M123*$J123*Règles!$C$12,0)</f>
        <v>48</v>
      </c>
      <c r="G123" s="4" t="n">
        <f aca="false">ROUND(INDEX(Règles!$C$5:$C$9,MATCH($D123,Règles!$A$5:$A$9,0))*$M123*$K123,0)</f>
        <v>18</v>
      </c>
      <c r="H123" s="4" t="n">
        <f aca="false">ROUND(INDEX(Règles!$C$5:$C$9,MATCH($D123,Règles!$A$5:$A$9,0))*$M123*$L123,0)</f>
        <v>9</v>
      </c>
      <c r="I123" s="28" t="n">
        <f aca="false">F123/Règles!$C$12+G123+H123</f>
        <v>36.6</v>
      </c>
      <c r="J123" s="29" t="n">
        <v>0.267</v>
      </c>
      <c r="K123" s="29" t="n">
        <v>0.492</v>
      </c>
      <c r="L123" s="29" t="n">
        <v>0.241</v>
      </c>
      <c r="M123" s="30" t="n">
        <v>0.971</v>
      </c>
    </row>
    <row r="124" customFormat="false" ht="15" hidden="false" customHeight="true" outlineLevel="0" collapsed="false">
      <c r="A124" s="3" t="n">
        <v>123</v>
      </c>
      <c r="B124" s="4" t="s">
        <v>119</v>
      </c>
      <c r="C124" s="4" t="s">
        <v>9</v>
      </c>
      <c r="D124" s="9" t="s">
        <v>108</v>
      </c>
      <c r="E124" s="4" t="s">
        <v>340</v>
      </c>
      <c r="F124" s="4" t="n">
        <f aca="false">ROUND(INDEX(Règles!$C$5:$C$9,MATCH($D124,Règles!$A$5:$A$9,0))*$M124*$J124*Règles!$C$12,0)</f>
        <v>54</v>
      </c>
      <c r="G124" s="4" t="n">
        <f aca="false">ROUND(INDEX(Règles!$C$5:$C$9,MATCH($D124,Règles!$A$5:$A$9,0))*$M124*$K124,0)</f>
        <v>7</v>
      </c>
      <c r="H124" s="4" t="n">
        <f aca="false">ROUND(INDEX(Règles!$C$5:$C$9,MATCH($D124,Règles!$A$5:$A$9,0))*$M124*$L124,0)</f>
        <v>19</v>
      </c>
      <c r="I124" s="28" t="n">
        <f aca="false">F124/Règles!$C$12+G124+H124</f>
        <v>36.8</v>
      </c>
      <c r="J124" s="29" t="n">
        <v>0.296</v>
      </c>
      <c r="K124" s="29" t="n">
        <v>0.19</v>
      </c>
      <c r="L124" s="29" t="n">
        <v>0.514</v>
      </c>
      <c r="M124" s="30" t="n">
        <v>0.992</v>
      </c>
    </row>
    <row r="125" customFormat="false" ht="15" hidden="false" customHeight="true" outlineLevel="0" collapsed="false">
      <c r="A125" s="3" t="n">
        <v>124</v>
      </c>
      <c r="B125" s="4" t="s">
        <v>127</v>
      </c>
      <c r="C125" s="4" t="s">
        <v>9</v>
      </c>
      <c r="D125" s="9" t="s">
        <v>108</v>
      </c>
      <c r="E125" s="4" t="s">
        <v>341</v>
      </c>
      <c r="F125" s="4" t="n">
        <f aca="false">ROUND(INDEX(Règles!$C$5:$C$9,MATCH($D125,Règles!$A$5:$A$9,0))*$M125*$J125*Règles!$C$12,0)</f>
        <v>104</v>
      </c>
      <c r="G125" s="4" t="n">
        <f aca="false">ROUND(INDEX(Règles!$C$5:$C$9,MATCH($D125,Règles!$A$5:$A$9,0))*$M125*$K125,0)</f>
        <v>8</v>
      </c>
      <c r="H125" s="4" t="n">
        <f aca="false">ROUND(INDEX(Règles!$C$5:$C$9,MATCH($D125,Règles!$A$5:$A$9,0))*$M125*$L125,0)</f>
        <v>7</v>
      </c>
      <c r="I125" s="28" t="n">
        <f aca="false">F125/Règles!$C$12+G125+H125</f>
        <v>35.8</v>
      </c>
      <c r="J125" s="29" t="n">
        <v>0.567</v>
      </c>
      <c r="K125" s="29" t="n">
        <v>0.231</v>
      </c>
      <c r="L125" s="29" t="n">
        <v>0.202</v>
      </c>
      <c r="M125" s="30" t="n">
        <v>0.991</v>
      </c>
    </row>
    <row r="126" customFormat="false" ht="15" hidden="false" customHeight="true" outlineLevel="0" collapsed="false">
      <c r="A126" s="3" t="n">
        <v>125</v>
      </c>
      <c r="B126" s="4" t="s">
        <v>158</v>
      </c>
      <c r="C126" s="4" t="s">
        <v>9</v>
      </c>
      <c r="D126" s="9" t="s">
        <v>108</v>
      </c>
      <c r="E126" s="4" t="s">
        <v>338</v>
      </c>
      <c r="F126" s="4" t="n">
        <f aca="false">ROUND(INDEX(Règles!$C$5:$C$9,MATCH($D126,Règles!$A$5:$A$9,0))*$M126*$J126*Règles!$C$12,0)</f>
        <v>64</v>
      </c>
      <c r="G126" s="4" t="n">
        <f aca="false">ROUND(INDEX(Règles!$C$5:$C$9,MATCH($D126,Règles!$A$5:$A$9,0))*$M126*$K126,0)</f>
        <v>13</v>
      </c>
      <c r="H126" s="4" t="n">
        <f aca="false">ROUND(INDEX(Règles!$C$5:$C$9,MATCH($D126,Règles!$A$5:$A$9,0))*$M126*$L126,0)</f>
        <v>11</v>
      </c>
      <c r="I126" s="28" t="n">
        <f aca="false">F126/Règles!$C$12+G126+H126</f>
        <v>36.8</v>
      </c>
      <c r="J126" s="29" t="n">
        <v>0.35</v>
      </c>
      <c r="K126" s="29" t="n">
        <v>0.348</v>
      </c>
      <c r="L126" s="29" t="n">
        <v>0.302</v>
      </c>
      <c r="M126" s="30" t="n">
        <v>0.983</v>
      </c>
    </row>
    <row r="127" customFormat="false" ht="15" hidden="false" customHeight="true" outlineLevel="0" collapsed="false">
      <c r="A127" s="3" t="n">
        <v>126</v>
      </c>
      <c r="B127" s="4" t="s">
        <v>151</v>
      </c>
      <c r="C127" s="4" t="s">
        <v>9</v>
      </c>
      <c r="D127" s="9" t="s">
        <v>108</v>
      </c>
      <c r="E127" s="4" t="s">
        <v>339</v>
      </c>
      <c r="F127" s="4" t="n">
        <f aca="false">ROUND(INDEX(Règles!$C$5:$C$9,MATCH($D127,Règles!$A$5:$A$9,0))*$M127*$J127*Règles!$C$12,0)</f>
        <v>44</v>
      </c>
      <c r="G127" s="4" t="n">
        <f aca="false">ROUND(INDEX(Règles!$C$5:$C$9,MATCH($D127,Règles!$A$5:$A$9,0))*$M127*$K127,0)</f>
        <v>17</v>
      </c>
      <c r="H127" s="4" t="n">
        <f aca="false">ROUND(INDEX(Règles!$C$5:$C$9,MATCH($D127,Règles!$A$5:$A$9,0))*$M127*$L127,0)</f>
        <v>10</v>
      </c>
      <c r="I127" s="28" t="n">
        <f aca="false">F127/Règles!$C$12+G127+H127</f>
        <v>35.8</v>
      </c>
      <c r="J127" s="29" t="n">
        <v>0.244</v>
      </c>
      <c r="K127" s="29" t="n">
        <v>0.483</v>
      </c>
      <c r="L127" s="29" t="n">
        <v>0.273</v>
      </c>
      <c r="M127" s="30" t="n">
        <v>0.979</v>
      </c>
    </row>
    <row r="128" customFormat="false" ht="15" hidden="false" customHeight="true" outlineLevel="0" collapsed="false">
      <c r="A128" s="3" t="n">
        <v>127</v>
      </c>
      <c r="B128" s="4" t="s">
        <v>177</v>
      </c>
      <c r="C128" s="4" t="s">
        <v>23</v>
      </c>
      <c r="D128" s="9" t="s">
        <v>108</v>
      </c>
      <c r="E128" s="4" t="s">
        <v>340</v>
      </c>
      <c r="F128" s="4" t="n">
        <f aca="false">ROUND(INDEX(Règles!$C$5:$C$9,MATCH($D128,Règles!$A$5:$A$9,0))*$M128*$J128*Règles!$C$12,0)</f>
        <v>57</v>
      </c>
      <c r="G128" s="4" t="n">
        <f aca="false">ROUND(INDEX(Règles!$C$5:$C$9,MATCH($D128,Règles!$A$5:$A$9,0))*$M128*$K128,0)</f>
        <v>7</v>
      </c>
      <c r="H128" s="4" t="n">
        <f aca="false">ROUND(INDEX(Règles!$C$5:$C$9,MATCH($D128,Règles!$A$5:$A$9,0))*$M128*$L128,0)</f>
        <v>19</v>
      </c>
      <c r="I128" s="28" t="n">
        <f aca="false">F128/Règles!$C$12+G128+H128</f>
        <v>37.4</v>
      </c>
      <c r="J128" s="29" t="n">
        <v>0.302</v>
      </c>
      <c r="K128" s="29" t="n">
        <v>0.193</v>
      </c>
      <c r="L128" s="29" t="n">
        <v>0.505</v>
      </c>
      <c r="M128" s="30" t="n">
        <v>1.029</v>
      </c>
    </row>
    <row r="129" customFormat="false" ht="15" hidden="false" customHeight="true" outlineLevel="0" collapsed="false">
      <c r="A129" s="3" t="n">
        <v>128</v>
      </c>
      <c r="B129" s="4" t="s">
        <v>146</v>
      </c>
      <c r="C129" s="4" t="s">
        <v>9</v>
      </c>
      <c r="D129" s="9" t="s">
        <v>108</v>
      </c>
      <c r="E129" s="4" t="s">
        <v>341</v>
      </c>
      <c r="F129" s="4" t="n">
        <f aca="false">ROUND(INDEX(Règles!$C$5:$C$9,MATCH($D129,Règles!$A$5:$A$9,0))*$M129*$J129*Règles!$C$12,0)</f>
        <v>100</v>
      </c>
      <c r="G129" s="4" t="n">
        <f aca="false">ROUND(INDEX(Règles!$C$5:$C$9,MATCH($D129,Règles!$A$5:$A$9,0))*$M129*$K129,0)</f>
        <v>9</v>
      </c>
      <c r="H129" s="4" t="n">
        <f aca="false">ROUND(INDEX(Règles!$C$5:$C$9,MATCH($D129,Règles!$A$5:$A$9,0))*$M129*$L129,0)</f>
        <v>7</v>
      </c>
      <c r="I129" s="28" t="n">
        <f aca="false">F129/Règles!$C$12+G129+H129</f>
        <v>36</v>
      </c>
      <c r="J129" s="29" t="n">
        <v>0.544</v>
      </c>
      <c r="K129" s="29" t="n">
        <v>0.252</v>
      </c>
      <c r="L129" s="29" t="n">
        <v>0.204</v>
      </c>
      <c r="M129" s="30" t="n">
        <v>0.991</v>
      </c>
    </row>
    <row r="130" customFormat="false" ht="15" hidden="false" customHeight="true" outlineLevel="0" collapsed="false">
      <c r="A130" s="3" t="n">
        <v>129</v>
      </c>
      <c r="B130" s="4" t="s">
        <v>130</v>
      </c>
      <c r="C130" s="4" t="s">
        <v>9</v>
      </c>
      <c r="D130" s="9" t="s">
        <v>108</v>
      </c>
      <c r="E130" s="4" t="s">
        <v>338</v>
      </c>
      <c r="F130" s="4" t="n">
        <f aca="false">ROUND(INDEX(Règles!$C$5:$C$9,MATCH($D130,Règles!$A$5:$A$9,0))*$M130*$J130*Règles!$C$12,0)</f>
        <v>62</v>
      </c>
      <c r="G130" s="4" t="n">
        <f aca="false">ROUND(INDEX(Règles!$C$5:$C$9,MATCH($D130,Règles!$A$5:$A$9,0))*$M130*$K130,0)</f>
        <v>13</v>
      </c>
      <c r="H130" s="4" t="n">
        <f aca="false">ROUND(INDEX(Règles!$C$5:$C$9,MATCH($D130,Règles!$A$5:$A$9,0))*$M130*$L130,0)</f>
        <v>11</v>
      </c>
      <c r="I130" s="28" t="n">
        <f aca="false">F130/Règles!$C$12+G130+H130</f>
        <v>36.4</v>
      </c>
      <c r="J130" s="29" t="n">
        <v>0.341</v>
      </c>
      <c r="K130" s="29" t="n">
        <v>0.353</v>
      </c>
      <c r="L130" s="29" t="n">
        <v>0.306</v>
      </c>
      <c r="M130" s="30" t="n">
        <v>0.984</v>
      </c>
    </row>
    <row r="131" customFormat="false" ht="15" hidden="false" customHeight="true" outlineLevel="0" collapsed="false">
      <c r="A131" s="3" t="n">
        <v>130</v>
      </c>
      <c r="B131" s="4" t="s">
        <v>143</v>
      </c>
      <c r="C131" s="4" t="s">
        <v>9</v>
      </c>
      <c r="D131" s="9" t="s">
        <v>108</v>
      </c>
      <c r="E131" s="4" t="s">
        <v>339</v>
      </c>
      <c r="F131" s="4" t="n">
        <f aca="false">ROUND(INDEX(Règles!$C$5:$C$9,MATCH($D131,Règles!$A$5:$A$9,0))*$M131*$J131*Règles!$C$12,0)</f>
        <v>46</v>
      </c>
      <c r="G131" s="4" t="n">
        <f aca="false">ROUND(INDEX(Règles!$C$5:$C$9,MATCH($D131,Règles!$A$5:$A$9,0))*$M131*$K131,0)</f>
        <v>18</v>
      </c>
      <c r="H131" s="4" t="n">
        <f aca="false">ROUND(INDEX(Règles!$C$5:$C$9,MATCH($D131,Règles!$A$5:$A$9,0))*$M131*$L131,0)</f>
        <v>10</v>
      </c>
      <c r="I131" s="28" t="n">
        <f aca="false">F131/Règles!$C$12+G131+H131</f>
        <v>37.2</v>
      </c>
      <c r="J131" s="29" t="n">
        <v>0.243</v>
      </c>
      <c r="K131" s="29" t="n">
        <v>0.479</v>
      </c>
      <c r="L131" s="29" t="n">
        <v>0.278</v>
      </c>
      <c r="M131" s="30" t="n">
        <v>1.016</v>
      </c>
    </row>
    <row r="132" customFormat="false" ht="15" hidden="false" customHeight="true" outlineLevel="0" collapsed="false">
      <c r="A132" s="3" t="n">
        <v>131</v>
      </c>
      <c r="B132" s="4" t="s">
        <v>136</v>
      </c>
      <c r="C132" s="4" t="s">
        <v>9</v>
      </c>
      <c r="D132" s="9" t="s">
        <v>108</v>
      </c>
      <c r="E132" s="4" t="s">
        <v>340</v>
      </c>
      <c r="F132" s="4" t="n">
        <f aca="false">ROUND(INDEX(Règles!$C$5:$C$9,MATCH($D132,Règles!$A$5:$A$9,0))*$M132*$J132*Règles!$C$12,0)</f>
        <v>58</v>
      </c>
      <c r="G132" s="4" t="n">
        <f aca="false">ROUND(INDEX(Règles!$C$5:$C$9,MATCH($D132,Règles!$A$5:$A$9,0))*$M132*$K132,0)</f>
        <v>7</v>
      </c>
      <c r="H132" s="4" t="n">
        <f aca="false">ROUND(INDEX(Règles!$C$5:$C$9,MATCH($D132,Règles!$A$5:$A$9,0))*$M132*$L132,0)</f>
        <v>18</v>
      </c>
      <c r="I132" s="28" t="n">
        <f aca="false">F132/Règles!$C$12+G132+H132</f>
        <v>36.6</v>
      </c>
      <c r="J132" s="29" t="n">
        <v>0.309</v>
      </c>
      <c r="K132" s="29" t="n">
        <v>0.197</v>
      </c>
      <c r="L132" s="29" t="n">
        <v>0.494</v>
      </c>
      <c r="M132" s="30" t="n">
        <v>1.009</v>
      </c>
    </row>
    <row r="133" customFormat="false" ht="15" hidden="false" customHeight="true" outlineLevel="0" collapsed="false">
      <c r="A133" s="3" t="n">
        <v>132</v>
      </c>
      <c r="B133" s="4" t="s">
        <v>187</v>
      </c>
      <c r="C133" s="4" t="s">
        <v>23</v>
      </c>
      <c r="D133" s="9" t="s">
        <v>108</v>
      </c>
      <c r="E133" s="4" t="s">
        <v>341</v>
      </c>
      <c r="F133" s="4" t="n">
        <f aca="false">ROUND(INDEX(Règles!$C$5:$C$9,MATCH($D133,Règles!$A$5:$A$9,0))*$M133*$J133*Règles!$C$12,0)</f>
        <v>106</v>
      </c>
      <c r="G133" s="4" t="n">
        <f aca="false">ROUND(INDEX(Règles!$C$5:$C$9,MATCH($D133,Règles!$A$5:$A$9,0))*$M133*$K133,0)</f>
        <v>9</v>
      </c>
      <c r="H133" s="4" t="n">
        <f aca="false">ROUND(INDEX(Règles!$C$5:$C$9,MATCH($D133,Règles!$A$5:$A$9,0))*$M133*$L133,0)</f>
        <v>8</v>
      </c>
      <c r="I133" s="28" t="n">
        <f aca="false">F133/Règles!$C$12+G133+H133</f>
        <v>38.2</v>
      </c>
      <c r="J133" s="29" t="n">
        <v>0.559</v>
      </c>
      <c r="K133" s="29" t="n">
        <v>0.227</v>
      </c>
      <c r="L133" s="29" t="n">
        <v>0.214</v>
      </c>
      <c r="M133" s="30" t="n">
        <v>1.022</v>
      </c>
    </row>
    <row r="134" customFormat="false" ht="15" hidden="false" customHeight="true" outlineLevel="0" collapsed="false">
      <c r="A134" s="3" t="n">
        <v>133</v>
      </c>
      <c r="B134" s="4" t="s">
        <v>193</v>
      </c>
      <c r="C134" s="4" t="s">
        <v>23</v>
      </c>
      <c r="D134" s="9" t="s">
        <v>108</v>
      </c>
      <c r="E134" s="4" t="s">
        <v>338</v>
      </c>
      <c r="F134" s="4" t="n">
        <f aca="false">ROUND(INDEX(Règles!$C$5:$C$9,MATCH($D134,Règles!$A$5:$A$9,0))*$M134*$J134*Règles!$C$12,0)</f>
        <v>64</v>
      </c>
      <c r="G134" s="4" t="n">
        <f aca="false">ROUND(INDEX(Règles!$C$5:$C$9,MATCH($D134,Règles!$A$5:$A$9,0))*$M134*$K134,0)</f>
        <v>12</v>
      </c>
      <c r="H134" s="4" t="n">
        <f aca="false">ROUND(INDEX(Règles!$C$5:$C$9,MATCH($D134,Règles!$A$5:$A$9,0))*$M134*$L134,0)</f>
        <v>12</v>
      </c>
      <c r="I134" s="28" t="n">
        <f aca="false">F134/Règles!$C$12+G134+H134</f>
        <v>36.8</v>
      </c>
      <c r="J134" s="29" t="n">
        <v>0.349</v>
      </c>
      <c r="K134" s="29" t="n">
        <v>0.328</v>
      </c>
      <c r="L134" s="29" t="n">
        <v>0.323</v>
      </c>
      <c r="M134" s="30" t="n">
        <v>0.984</v>
      </c>
    </row>
    <row r="135" customFormat="false" ht="15" hidden="false" customHeight="true" outlineLevel="0" collapsed="false">
      <c r="A135" s="3" t="n">
        <v>134</v>
      </c>
      <c r="B135" s="4" t="s">
        <v>149</v>
      </c>
      <c r="C135" s="4" t="s">
        <v>9</v>
      </c>
      <c r="D135" s="9" t="s">
        <v>108</v>
      </c>
      <c r="E135" s="4" t="s">
        <v>339</v>
      </c>
      <c r="F135" s="4" t="n">
        <f aca="false">ROUND(INDEX(Règles!$C$5:$C$9,MATCH($D135,Règles!$A$5:$A$9,0))*$M135*$J135*Règles!$C$12,0)</f>
        <v>45</v>
      </c>
      <c r="G135" s="4" t="n">
        <f aca="false">ROUND(INDEX(Règles!$C$5:$C$9,MATCH($D135,Règles!$A$5:$A$9,0))*$M135*$K135,0)</f>
        <v>19</v>
      </c>
      <c r="H135" s="4" t="n">
        <f aca="false">ROUND(INDEX(Règles!$C$5:$C$9,MATCH($D135,Règles!$A$5:$A$9,0))*$M135*$L135,0)</f>
        <v>10</v>
      </c>
      <c r="I135" s="28" t="n">
        <f aca="false">F135/Règles!$C$12+G135+H135</f>
        <v>38</v>
      </c>
      <c r="J135" s="29" t="n">
        <v>0.235</v>
      </c>
      <c r="K135" s="29" t="n">
        <v>0.503</v>
      </c>
      <c r="L135" s="29" t="n">
        <v>0.262</v>
      </c>
      <c r="M135" s="30" t="n">
        <v>1.025</v>
      </c>
    </row>
    <row r="136" customFormat="false" ht="15" hidden="false" customHeight="true" outlineLevel="0" collapsed="false">
      <c r="A136" s="3" t="n">
        <v>135</v>
      </c>
      <c r="B136" s="4" t="s">
        <v>191</v>
      </c>
      <c r="C136" s="4" t="s">
        <v>23</v>
      </c>
      <c r="D136" s="9" t="s">
        <v>108</v>
      </c>
      <c r="E136" s="4" t="s">
        <v>340</v>
      </c>
      <c r="F136" s="4" t="n">
        <f aca="false">ROUND(INDEX(Règles!$C$5:$C$9,MATCH($D136,Règles!$A$5:$A$9,0))*$M136*$J136*Règles!$C$12,0)</f>
        <v>52</v>
      </c>
      <c r="G136" s="4" t="n">
        <f aca="false">ROUND(INDEX(Règles!$C$5:$C$9,MATCH($D136,Règles!$A$5:$A$9,0))*$M136*$K136,0)</f>
        <v>8</v>
      </c>
      <c r="H136" s="4" t="n">
        <f aca="false">ROUND(INDEX(Règles!$C$5:$C$9,MATCH($D136,Règles!$A$5:$A$9,0))*$M136*$L136,0)</f>
        <v>18</v>
      </c>
      <c r="I136" s="28" t="n">
        <f aca="false">F136/Règles!$C$12+G136+H136</f>
        <v>36.4</v>
      </c>
      <c r="J136" s="29" t="n">
        <v>0.289</v>
      </c>
      <c r="K136" s="29" t="n">
        <v>0.219</v>
      </c>
      <c r="L136" s="29" t="n">
        <v>0.492</v>
      </c>
      <c r="M136" s="30" t="n">
        <v>0.978</v>
      </c>
    </row>
    <row r="137" customFormat="false" ht="15" hidden="false" customHeight="true" outlineLevel="0" collapsed="false">
      <c r="A137" s="3" t="n">
        <v>136</v>
      </c>
      <c r="B137" s="4" t="s">
        <v>168</v>
      </c>
      <c r="C137" s="4" t="s">
        <v>23</v>
      </c>
      <c r="D137" s="9" t="s">
        <v>108</v>
      </c>
      <c r="E137" s="4" t="s">
        <v>341</v>
      </c>
      <c r="F137" s="4" t="n">
        <f aca="false">ROUND(INDEX(Règles!$C$5:$C$9,MATCH($D137,Règles!$A$5:$A$9,0))*$M137*$J137*Règles!$C$12,0)</f>
        <v>95</v>
      </c>
      <c r="G137" s="4" t="n">
        <f aca="false">ROUND(INDEX(Règles!$C$5:$C$9,MATCH($D137,Règles!$A$5:$A$9,0))*$M137*$K137,0)</f>
        <v>9</v>
      </c>
      <c r="H137" s="4" t="n">
        <f aca="false">ROUND(INDEX(Règles!$C$5:$C$9,MATCH($D137,Règles!$A$5:$A$9,0))*$M137*$L137,0)</f>
        <v>8</v>
      </c>
      <c r="I137" s="28" t="n">
        <f aca="false">F137/Règles!$C$12+G137+H137</f>
        <v>36</v>
      </c>
      <c r="J137" s="29" t="n">
        <v>0.526</v>
      </c>
      <c r="K137" s="29" t="n">
        <v>0.25</v>
      </c>
      <c r="L137" s="29" t="n">
        <v>0.224</v>
      </c>
      <c r="M137" s="30" t="n">
        <v>0.974</v>
      </c>
    </row>
    <row r="138" customFormat="false" ht="15" hidden="false" customHeight="true" outlineLevel="0" collapsed="false">
      <c r="A138" s="3" t="n">
        <v>137</v>
      </c>
      <c r="B138" s="4" t="s">
        <v>163</v>
      </c>
      <c r="C138" s="4" t="s">
        <v>9</v>
      </c>
      <c r="D138" s="9" t="s">
        <v>108</v>
      </c>
      <c r="E138" s="4" t="s">
        <v>338</v>
      </c>
      <c r="F138" s="4" t="n">
        <f aca="false">ROUND(INDEX(Règles!$C$5:$C$9,MATCH($D138,Règles!$A$5:$A$9,0))*$M138*$J138*Règles!$C$12,0)</f>
        <v>62</v>
      </c>
      <c r="G138" s="4" t="n">
        <f aca="false">ROUND(INDEX(Règles!$C$5:$C$9,MATCH($D138,Règles!$A$5:$A$9,0))*$M138*$K138,0)</f>
        <v>12</v>
      </c>
      <c r="H138" s="4" t="n">
        <f aca="false">ROUND(INDEX(Règles!$C$5:$C$9,MATCH($D138,Règles!$A$5:$A$9,0))*$M138*$L138,0)</f>
        <v>12</v>
      </c>
      <c r="I138" s="28" t="n">
        <f aca="false">F138/Règles!$C$12+G138+H138</f>
        <v>36.4</v>
      </c>
      <c r="J138" s="29" t="n">
        <v>0.344</v>
      </c>
      <c r="K138" s="29" t="n">
        <v>0.331</v>
      </c>
      <c r="L138" s="29" t="n">
        <v>0.325</v>
      </c>
      <c r="M138" s="30" t="n">
        <v>0.976</v>
      </c>
    </row>
    <row r="139" customFormat="false" ht="15" hidden="false" customHeight="true" outlineLevel="0" collapsed="false">
      <c r="A139" s="3" t="n">
        <v>138</v>
      </c>
      <c r="B139" s="4" t="s">
        <v>123</v>
      </c>
      <c r="C139" s="4" t="s">
        <v>9</v>
      </c>
      <c r="D139" s="9" t="s">
        <v>108</v>
      </c>
      <c r="E139" s="4" t="s">
        <v>339</v>
      </c>
      <c r="F139" s="4" t="n">
        <f aca="false">ROUND(INDEX(Règles!$C$5:$C$9,MATCH($D139,Règles!$A$5:$A$9,0))*$M139*$J139*Règles!$C$12,0)</f>
        <v>42</v>
      </c>
      <c r="G139" s="4" t="n">
        <f aca="false">ROUND(INDEX(Règles!$C$5:$C$9,MATCH($D139,Règles!$A$5:$A$9,0))*$M139*$K139,0)</f>
        <v>18</v>
      </c>
      <c r="H139" s="4" t="n">
        <f aca="false">ROUND(INDEX(Règles!$C$5:$C$9,MATCH($D139,Règles!$A$5:$A$9,0))*$M139*$L139,0)</f>
        <v>10</v>
      </c>
      <c r="I139" s="28" t="n">
        <f aca="false">F139/Règles!$C$12+G139+H139</f>
        <v>36.4</v>
      </c>
      <c r="J139" s="29" t="n">
        <v>0.232</v>
      </c>
      <c r="K139" s="29" t="n">
        <v>0.5</v>
      </c>
      <c r="L139" s="29" t="n">
        <v>0.268</v>
      </c>
      <c r="M139" s="30" t="n">
        <v>0.985</v>
      </c>
    </row>
    <row r="140" customFormat="false" ht="15" hidden="false" customHeight="true" outlineLevel="0" collapsed="false">
      <c r="A140" s="3" t="n">
        <v>139</v>
      </c>
      <c r="B140" s="4" t="s">
        <v>154</v>
      </c>
      <c r="C140" s="4" t="s">
        <v>9</v>
      </c>
      <c r="D140" s="9" t="s">
        <v>108</v>
      </c>
      <c r="E140" s="4" t="s">
        <v>340</v>
      </c>
      <c r="F140" s="4" t="n">
        <f aca="false">ROUND(INDEX(Règles!$C$5:$C$9,MATCH($D140,Règles!$A$5:$A$9,0))*$M140*$J140*Règles!$C$12,0)</f>
        <v>60</v>
      </c>
      <c r="G140" s="4" t="n">
        <f aca="false">ROUND(INDEX(Règles!$C$5:$C$9,MATCH($D140,Règles!$A$5:$A$9,0))*$M140*$K140,0)</f>
        <v>7</v>
      </c>
      <c r="H140" s="4" t="n">
        <f aca="false">ROUND(INDEX(Règles!$C$5:$C$9,MATCH($D140,Règles!$A$5:$A$9,0))*$M140*$L140,0)</f>
        <v>19</v>
      </c>
      <c r="I140" s="28" t="n">
        <f aca="false">F140/Règles!$C$12+G140+H140</f>
        <v>38</v>
      </c>
      <c r="J140" s="29" t="n">
        <v>0.314</v>
      </c>
      <c r="K140" s="29" t="n">
        <v>0.192</v>
      </c>
      <c r="L140" s="29" t="n">
        <v>0.494</v>
      </c>
      <c r="M140" s="30" t="n">
        <v>1.027</v>
      </c>
    </row>
    <row r="141" customFormat="false" ht="15" hidden="false" customHeight="true" outlineLevel="0" collapsed="false">
      <c r="A141" s="3" t="n">
        <v>140</v>
      </c>
      <c r="B141" s="4" t="s">
        <v>118</v>
      </c>
      <c r="C141" s="4" t="s">
        <v>9</v>
      </c>
      <c r="D141" s="9" t="s">
        <v>108</v>
      </c>
      <c r="E141" s="4" t="s">
        <v>341</v>
      </c>
      <c r="F141" s="4" t="n">
        <f aca="false">ROUND(INDEX(Règles!$C$5:$C$9,MATCH($D141,Règles!$A$5:$A$9,0))*$M141*$J141*Règles!$C$12,0)</f>
        <v>100</v>
      </c>
      <c r="G141" s="4" t="n">
        <f aca="false">ROUND(INDEX(Règles!$C$5:$C$9,MATCH($D141,Règles!$A$5:$A$9,0))*$M141*$K141,0)</f>
        <v>9</v>
      </c>
      <c r="H141" s="4" t="n">
        <f aca="false">ROUND(INDEX(Règles!$C$5:$C$9,MATCH($D141,Règles!$A$5:$A$9,0))*$M141*$L141,0)</f>
        <v>8</v>
      </c>
      <c r="I141" s="28" t="n">
        <f aca="false">F141/Règles!$C$12+G141+H141</f>
        <v>37</v>
      </c>
      <c r="J141" s="29" t="n">
        <v>0.545</v>
      </c>
      <c r="K141" s="29" t="n">
        <v>0.239</v>
      </c>
      <c r="L141" s="29" t="n">
        <v>0.216</v>
      </c>
      <c r="M141" s="30" t="n">
        <v>0.988</v>
      </c>
    </row>
    <row r="142" customFormat="false" ht="15" hidden="false" customHeight="true" outlineLevel="0" collapsed="false">
      <c r="A142" s="3" t="n">
        <v>141</v>
      </c>
      <c r="B142" s="4" t="s">
        <v>109</v>
      </c>
      <c r="C142" s="4" t="s">
        <v>9</v>
      </c>
      <c r="D142" s="9" t="s">
        <v>108</v>
      </c>
      <c r="E142" s="4" t="s">
        <v>338</v>
      </c>
      <c r="F142" s="4" t="n">
        <f aca="false">ROUND(INDEX(Règles!$C$5:$C$9,MATCH($D142,Règles!$A$5:$A$9,0))*$M142*$J142*Règles!$C$12,0)</f>
        <v>66</v>
      </c>
      <c r="G142" s="4" t="n">
        <f aca="false">ROUND(INDEX(Règles!$C$5:$C$9,MATCH($D142,Règles!$A$5:$A$9,0))*$M142*$K142,0)</f>
        <v>12</v>
      </c>
      <c r="H142" s="4" t="n">
        <f aca="false">ROUND(INDEX(Règles!$C$5:$C$9,MATCH($D142,Règles!$A$5:$A$9,0))*$M142*$L142,0)</f>
        <v>11</v>
      </c>
      <c r="I142" s="28" t="n">
        <f aca="false">F142/Règles!$C$12+G142+H142</f>
        <v>36.2</v>
      </c>
      <c r="J142" s="29" t="n">
        <v>0.361</v>
      </c>
      <c r="K142" s="29" t="n">
        <v>0.33</v>
      </c>
      <c r="L142" s="29" t="n">
        <v>0.309</v>
      </c>
      <c r="M142" s="30" t="n">
        <v>0.984</v>
      </c>
    </row>
    <row r="143" customFormat="false" ht="15" hidden="false" customHeight="true" outlineLevel="0" collapsed="false">
      <c r="A143" s="3" t="n">
        <v>142</v>
      </c>
      <c r="B143" s="4" t="s">
        <v>141</v>
      </c>
      <c r="C143" s="4" t="s">
        <v>9</v>
      </c>
      <c r="D143" s="9" t="s">
        <v>108</v>
      </c>
      <c r="E143" s="4" t="s">
        <v>339</v>
      </c>
      <c r="F143" s="4" t="n">
        <f aca="false">ROUND(INDEX(Règles!$C$5:$C$9,MATCH($D143,Règles!$A$5:$A$9,0))*$M143*$J143*Règles!$C$12,0)</f>
        <v>49</v>
      </c>
      <c r="G143" s="4" t="n">
        <f aca="false">ROUND(INDEX(Règles!$C$5:$C$9,MATCH($D143,Règles!$A$5:$A$9,0))*$M143*$K143,0)</f>
        <v>17</v>
      </c>
      <c r="H143" s="4" t="n">
        <f aca="false">ROUND(INDEX(Règles!$C$5:$C$9,MATCH($D143,Règles!$A$5:$A$9,0))*$M143*$L143,0)</f>
        <v>10</v>
      </c>
      <c r="I143" s="28" t="n">
        <f aca="false">F143/Règles!$C$12+G143+H143</f>
        <v>36.8</v>
      </c>
      <c r="J143" s="29" t="n">
        <v>0.27</v>
      </c>
      <c r="K143" s="29" t="n">
        <v>0.464</v>
      </c>
      <c r="L143" s="29" t="n">
        <v>0.266</v>
      </c>
      <c r="M143" s="30" t="n">
        <v>0.975</v>
      </c>
    </row>
    <row r="144" customFormat="false" ht="15" hidden="false" customHeight="true" outlineLevel="0" collapsed="false">
      <c r="A144" s="3" t="n">
        <v>143</v>
      </c>
      <c r="B144" s="4" t="s">
        <v>184</v>
      </c>
      <c r="C144" s="4" t="s">
        <v>23</v>
      </c>
      <c r="D144" s="9" t="s">
        <v>108</v>
      </c>
      <c r="E144" s="4" t="s">
        <v>340</v>
      </c>
      <c r="F144" s="4" t="n">
        <f aca="false">ROUND(INDEX(Règles!$C$5:$C$9,MATCH($D144,Règles!$A$5:$A$9,0))*$M144*$J144*Règles!$C$12,0)</f>
        <v>59</v>
      </c>
      <c r="G144" s="4" t="n">
        <f aca="false">ROUND(INDEX(Règles!$C$5:$C$9,MATCH($D144,Règles!$A$5:$A$9,0))*$M144*$K144,0)</f>
        <v>7</v>
      </c>
      <c r="H144" s="4" t="n">
        <f aca="false">ROUND(INDEX(Règles!$C$5:$C$9,MATCH($D144,Règles!$A$5:$A$9,0))*$M144*$L144,0)</f>
        <v>19</v>
      </c>
      <c r="I144" s="28" t="n">
        <f aca="false">F144/Règles!$C$12+G144+H144</f>
        <v>37.8</v>
      </c>
      <c r="J144" s="29" t="n">
        <v>0.317</v>
      </c>
      <c r="K144" s="29" t="n">
        <v>0.186</v>
      </c>
      <c r="L144" s="29" t="n">
        <v>0.497</v>
      </c>
      <c r="M144" s="30" t="n">
        <v>1.007</v>
      </c>
    </row>
    <row r="145" customFormat="false" ht="15" hidden="false" customHeight="true" outlineLevel="0" collapsed="false">
      <c r="A145" s="3" t="n">
        <v>144</v>
      </c>
      <c r="B145" s="4" t="s">
        <v>176</v>
      </c>
      <c r="C145" s="4" t="s">
        <v>23</v>
      </c>
      <c r="D145" s="9" t="s">
        <v>108</v>
      </c>
      <c r="E145" s="4" t="s">
        <v>341</v>
      </c>
      <c r="F145" s="4" t="n">
        <f aca="false">ROUND(INDEX(Règles!$C$5:$C$9,MATCH($D145,Règles!$A$5:$A$9,0))*$M145*$J145*Règles!$C$12,0)</f>
        <v>102</v>
      </c>
      <c r="G145" s="4" t="n">
        <f aca="false">ROUND(INDEX(Règles!$C$5:$C$9,MATCH($D145,Règles!$A$5:$A$9,0))*$M145*$K145,0)</f>
        <v>9</v>
      </c>
      <c r="H145" s="4" t="n">
        <f aca="false">ROUND(INDEX(Règles!$C$5:$C$9,MATCH($D145,Règles!$A$5:$A$9,0))*$M145*$L145,0)</f>
        <v>8</v>
      </c>
      <c r="I145" s="28" t="n">
        <f aca="false">F145/Règles!$C$12+G145+H145</f>
        <v>37.4</v>
      </c>
      <c r="J145" s="29" t="n">
        <v>0.55</v>
      </c>
      <c r="K145" s="29" t="n">
        <v>0.232</v>
      </c>
      <c r="L145" s="29" t="n">
        <v>0.218</v>
      </c>
      <c r="M145" s="30" t="n">
        <v>1.001</v>
      </c>
    </row>
    <row r="146" customFormat="false" ht="15" hidden="false" customHeight="true" outlineLevel="0" collapsed="false">
      <c r="A146" s="3" t="n">
        <v>145</v>
      </c>
      <c r="B146" s="4" t="s">
        <v>137</v>
      </c>
      <c r="C146" s="4" t="s">
        <v>9</v>
      </c>
      <c r="D146" s="9" t="s">
        <v>108</v>
      </c>
      <c r="E146" s="4" t="s">
        <v>338</v>
      </c>
      <c r="F146" s="4" t="n">
        <f aca="false">ROUND(INDEX(Règles!$C$5:$C$9,MATCH($D146,Règles!$A$5:$A$9,0))*$M146*$J146*Règles!$C$12,0)</f>
        <v>63</v>
      </c>
      <c r="G146" s="4" t="n">
        <f aca="false">ROUND(INDEX(Règles!$C$5:$C$9,MATCH($D146,Règles!$A$5:$A$9,0))*$M146*$K146,0)</f>
        <v>12</v>
      </c>
      <c r="H146" s="4" t="n">
        <f aca="false">ROUND(INDEX(Règles!$C$5:$C$9,MATCH($D146,Règles!$A$5:$A$9,0))*$M146*$L146,0)</f>
        <v>12</v>
      </c>
      <c r="I146" s="28" t="n">
        <f aca="false">F146/Règles!$C$12+G146+H146</f>
        <v>36.6</v>
      </c>
      <c r="J146" s="29" t="n">
        <v>0.345</v>
      </c>
      <c r="K146" s="29" t="n">
        <v>0.318</v>
      </c>
      <c r="L146" s="29" t="n">
        <v>0.337</v>
      </c>
      <c r="M146" s="30" t="n">
        <v>0.985</v>
      </c>
    </row>
    <row r="147" customFormat="false" ht="15" hidden="false" customHeight="true" outlineLevel="0" collapsed="false">
      <c r="A147" s="3" t="n">
        <v>146</v>
      </c>
      <c r="B147" s="4" t="s">
        <v>195</v>
      </c>
      <c r="C147" s="4" t="s">
        <v>23</v>
      </c>
      <c r="D147" s="9" t="s">
        <v>108</v>
      </c>
      <c r="E147" s="4" t="s">
        <v>339</v>
      </c>
      <c r="F147" s="4" t="n">
        <f aca="false">ROUND(INDEX(Règles!$C$5:$C$9,MATCH($D147,Règles!$A$5:$A$9,0))*$M147*$J147*Règles!$C$12,0)</f>
        <v>45</v>
      </c>
      <c r="G147" s="4" t="n">
        <f aca="false">ROUND(INDEX(Règles!$C$5:$C$9,MATCH($D147,Règles!$A$5:$A$9,0))*$M147*$K147,0)</f>
        <v>18</v>
      </c>
      <c r="H147" s="4" t="n">
        <f aca="false">ROUND(INDEX(Règles!$C$5:$C$9,MATCH($D147,Règles!$A$5:$A$9,0))*$M147*$L147,0)</f>
        <v>10</v>
      </c>
      <c r="I147" s="28" t="n">
        <f aca="false">F147/Règles!$C$12+G147+H147</f>
        <v>37</v>
      </c>
      <c r="J147" s="29" t="n">
        <v>0.244</v>
      </c>
      <c r="K147" s="29" t="n">
        <v>0.488</v>
      </c>
      <c r="L147" s="29" t="n">
        <v>0.268</v>
      </c>
      <c r="M147" s="30" t="n">
        <v>0.986</v>
      </c>
    </row>
    <row r="148" customFormat="false" ht="15" hidden="false" customHeight="true" outlineLevel="0" collapsed="false">
      <c r="A148" s="3" t="n">
        <v>147</v>
      </c>
      <c r="B148" s="4" t="s">
        <v>126</v>
      </c>
      <c r="C148" s="4" t="s">
        <v>9</v>
      </c>
      <c r="D148" s="9" t="s">
        <v>108</v>
      </c>
      <c r="E148" s="4" t="s">
        <v>340</v>
      </c>
      <c r="F148" s="4" t="n">
        <f aca="false">ROUND(INDEX(Règles!$C$5:$C$9,MATCH($D148,Règles!$A$5:$A$9,0))*$M148*$J148*Règles!$C$12,0)</f>
        <v>55</v>
      </c>
      <c r="G148" s="4" t="n">
        <f aca="false">ROUND(INDEX(Règles!$C$5:$C$9,MATCH($D148,Règles!$A$5:$A$9,0))*$M148*$K148,0)</f>
        <v>8</v>
      </c>
      <c r="H148" s="4" t="n">
        <f aca="false">ROUND(INDEX(Règles!$C$5:$C$9,MATCH($D148,Règles!$A$5:$A$9,0))*$M148*$L148,0)</f>
        <v>18</v>
      </c>
      <c r="I148" s="28" t="n">
        <f aca="false">F148/Règles!$C$12+G148+H148</f>
        <v>37</v>
      </c>
      <c r="J148" s="29" t="n">
        <v>0.302</v>
      </c>
      <c r="K148" s="29" t="n">
        <v>0.209</v>
      </c>
      <c r="L148" s="29" t="n">
        <v>0.489</v>
      </c>
      <c r="M148" s="30" t="n">
        <v>0.98</v>
      </c>
    </row>
    <row r="149" customFormat="false" ht="15" hidden="false" customHeight="true" outlineLevel="0" collapsed="false">
      <c r="A149" s="3" t="n">
        <v>148</v>
      </c>
      <c r="B149" s="4" t="s">
        <v>132</v>
      </c>
      <c r="C149" s="4" t="s">
        <v>9</v>
      </c>
      <c r="D149" s="9" t="s">
        <v>108</v>
      </c>
      <c r="E149" s="4" t="s">
        <v>341</v>
      </c>
      <c r="F149" s="4" t="n">
        <f aca="false">ROUND(INDEX(Règles!$C$5:$C$9,MATCH($D149,Règles!$A$5:$A$9,0))*$M149*$J149*Règles!$C$12,0)</f>
        <v>104</v>
      </c>
      <c r="G149" s="4" t="n">
        <f aca="false">ROUND(INDEX(Règles!$C$5:$C$9,MATCH($D149,Règles!$A$5:$A$9,0))*$M149*$K149,0)</f>
        <v>9</v>
      </c>
      <c r="H149" s="4" t="n">
        <f aca="false">ROUND(INDEX(Règles!$C$5:$C$9,MATCH($D149,Règles!$A$5:$A$9,0))*$M149*$L149,0)</f>
        <v>7</v>
      </c>
      <c r="I149" s="28" t="n">
        <f aca="false">F149/Règles!$C$12+G149+H149</f>
        <v>36.8</v>
      </c>
      <c r="J149" s="29" t="n">
        <v>0.573</v>
      </c>
      <c r="K149" s="29" t="n">
        <v>0.24</v>
      </c>
      <c r="L149" s="29" t="n">
        <v>0.187</v>
      </c>
      <c r="M149" s="30" t="n">
        <v>0.977</v>
      </c>
    </row>
    <row r="150" customFormat="false" ht="15" hidden="false" customHeight="true" outlineLevel="0" collapsed="false">
      <c r="A150" s="3" t="n">
        <v>149</v>
      </c>
      <c r="B150" s="4" t="s">
        <v>111</v>
      </c>
      <c r="C150" s="4" t="s">
        <v>9</v>
      </c>
      <c r="D150" s="9" t="s">
        <v>108</v>
      </c>
      <c r="E150" s="4" t="s">
        <v>338</v>
      </c>
      <c r="F150" s="4" t="n">
        <f aca="false">ROUND(INDEX(Règles!$C$5:$C$9,MATCH($D150,Règles!$A$5:$A$9,0))*$M150*$J150*Règles!$C$12,0)</f>
        <v>67</v>
      </c>
      <c r="G150" s="4" t="n">
        <f aca="false">ROUND(INDEX(Règles!$C$5:$C$9,MATCH($D150,Règles!$A$5:$A$9,0))*$M150*$K150,0)</f>
        <v>12</v>
      </c>
      <c r="H150" s="4" t="n">
        <f aca="false">ROUND(INDEX(Règles!$C$5:$C$9,MATCH($D150,Règles!$A$5:$A$9,0))*$M150*$L150,0)</f>
        <v>12</v>
      </c>
      <c r="I150" s="28" t="n">
        <f aca="false">F150/Règles!$C$12+G150+H150</f>
        <v>37.4</v>
      </c>
      <c r="J150" s="29" t="n">
        <v>0.361</v>
      </c>
      <c r="K150" s="29" t="n">
        <v>0.313</v>
      </c>
      <c r="L150" s="29" t="n">
        <v>0.326</v>
      </c>
      <c r="M150" s="30" t="n">
        <v>1.006</v>
      </c>
    </row>
    <row r="151" customFormat="false" ht="15" hidden="false" customHeight="true" outlineLevel="0" collapsed="false">
      <c r="A151" s="3" t="n">
        <v>150</v>
      </c>
      <c r="B151" s="4" t="s">
        <v>180</v>
      </c>
      <c r="C151" s="4" t="s">
        <v>23</v>
      </c>
      <c r="D151" s="9" t="s">
        <v>108</v>
      </c>
      <c r="E151" s="4" t="s">
        <v>339</v>
      </c>
      <c r="F151" s="4" t="n">
        <f aca="false">ROUND(INDEX(Règles!$C$5:$C$9,MATCH($D151,Règles!$A$5:$A$9,0))*$M151*$J151*Règles!$C$12,0)</f>
        <v>45</v>
      </c>
      <c r="G151" s="4" t="n">
        <f aca="false">ROUND(INDEX(Règles!$C$5:$C$9,MATCH($D151,Règles!$A$5:$A$9,0))*$M151*$K151,0)</f>
        <v>18</v>
      </c>
      <c r="H151" s="4" t="n">
        <f aca="false">ROUND(INDEX(Règles!$C$5:$C$9,MATCH($D151,Règles!$A$5:$A$9,0))*$M151*$L151,0)</f>
        <v>10</v>
      </c>
      <c r="I151" s="28" t="n">
        <f aca="false">F151/Règles!$C$12+G151+H151</f>
        <v>37</v>
      </c>
      <c r="J151" s="29" t="n">
        <v>0.249</v>
      </c>
      <c r="K151" s="29" t="n">
        <v>0.488</v>
      </c>
      <c r="L151" s="29" t="n">
        <v>0.263</v>
      </c>
      <c r="M151" s="30" t="n">
        <v>0.977</v>
      </c>
    </row>
    <row r="152" customFormat="false" ht="15" hidden="false" customHeight="true" outlineLevel="0" collapsed="false">
      <c r="A152" s="3" t="n">
        <v>151</v>
      </c>
      <c r="B152" s="4" t="s">
        <v>156</v>
      </c>
      <c r="C152" s="4" t="s">
        <v>9</v>
      </c>
      <c r="D152" s="9" t="s">
        <v>108</v>
      </c>
      <c r="E152" s="4" t="s">
        <v>340</v>
      </c>
      <c r="F152" s="4" t="n">
        <f aca="false">ROUND(INDEX(Règles!$C$5:$C$9,MATCH($D152,Règles!$A$5:$A$9,0))*$M152*$J152*Règles!$C$12,0)</f>
        <v>54</v>
      </c>
      <c r="G152" s="4" t="n">
        <f aca="false">ROUND(INDEX(Règles!$C$5:$C$9,MATCH($D152,Règles!$A$5:$A$9,0))*$M152*$K152,0)</f>
        <v>8</v>
      </c>
      <c r="H152" s="4" t="n">
        <f aca="false">ROUND(INDEX(Règles!$C$5:$C$9,MATCH($D152,Règles!$A$5:$A$9,0))*$M152*$L152,0)</f>
        <v>19</v>
      </c>
      <c r="I152" s="28" t="n">
        <f aca="false">F152/Règles!$C$12+G152+H152</f>
        <v>37.8</v>
      </c>
      <c r="J152" s="29" t="n">
        <v>0.289</v>
      </c>
      <c r="K152" s="29" t="n">
        <v>0.208</v>
      </c>
      <c r="L152" s="29" t="n">
        <v>0.503</v>
      </c>
      <c r="M152" s="30" t="n">
        <v>1.007</v>
      </c>
    </row>
    <row r="153" customFormat="false" ht="15" hidden="false" customHeight="true" outlineLevel="0" collapsed="false">
      <c r="A153" s="3" t="n">
        <v>152</v>
      </c>
      <c r="B153" s="4" t="s">
        <v>165</v>
      </c>
      <c r="C153" s="4" t="s">
        <v>9</v>
      </c>
      <c r="D153" s="9" t="s">
        <v>108</v>
      </c>
      <c r="E153" s="4" t="s">
        <v>341</v>
      </c>
      <c r="F153" s="4" t="n">
        <f aca="false">ROUND(INDEX(Règles!$C$5:$C$9,MATCH($D153,Règles!$A$5:$A$9,0))*$M153*$J153*Règles!$C$12,0)</f>
        <v>101</v>
      </c>
      <c r="G153" s="4" t="n">
        <f aca="false">ROUND(INDEX(Règles!$C$5:$C$9,MATCH($D153,Règles!$A$5:$A$9,0))*$M153*$K153,0)</f>
        <v>10</v>
      </c>
      <c r="H153" s="4" t="n">
        <f aca="false">ROUND(INDEX(Règles!$C$5:$C$9,MATCH($D153,Règles!$A$5:$A$9,0))*$M153*$L153,0)</f>
        <v>8</v>
      </c>
      <c r="I153" s="28" t="n">
        <f aca="false">F153/Règles!$C$12+G153+H153</f>
        <v>38.2</v>
      </c>
      <c r="J153" s="29" t="n">
        <v>0.528</v>
      </c>
      <c r="K153" s="29" t="n">
        <v>0.262</v>
      </c>
      <c r="L153" s="29" t="n">
        <v>0.21</v>
      </c>
      <c r="M153" s="30" t="n">
        <v>1.03</v>
      </c>
    </row>
    <row r="154" customFormat="false" ht="15" hidden="false" customHeight="true" outlineLevel="0" collapsed="false">
      <c r="A154" s="3" t="n">
        <v>153</v>
      </c>
      <c r="B154" s="4" t="s">
        <v>107</v>
      </c>
      <c r="C154" s="4" t="s">
        <v>9</v>
      </c>
      <c r="D154" s="9" t="s">
        <v>108</v>
      </c>
      <c r="E154" s="4" t="s">
        <v>338</v>
      </c>
      <c r="F154" s="4" t="n">
        <f aca="false">ROUND(INDEX(Règles!$C$5:$C$9,MATCH($D154,Règles!$A$5:$A$9,0))*$M154*$J154*Règles!$C$12,0)</f>
        <v>65</v>
      </c>
      <c r="G154" s="4" t="n">
        <f aca="false">ROUND(INDEX(Règles!$C$5:$C$9,MATCH($D154,Règles!$A$5:$A$9,0))*$M154*$K154,0)</f>
        <v>12</v>
      </c>
      <c r="H154" s="4" t="n">
        <f aca="false">ROUND(INDEX(Règles!$C$5:$C$9,MATCH($D154,Règles!$A$5:$A$9,0))*$M154*$L154,0)</f>
        <v>12</v>
      </c>
      <c r="I154" s="28" t="n">
        <f aca="false">F154/Règles!$C$12+G154+H154</f>
        <v>37</v>
      </c>
      <c r="J154" s="29" t="n">
        <v>0.355</v>
      </c>
      <c r="K154" s="29" t="n">
        <v>0.327</v>
      </c>
      <c r="L154" s="29" t="n">
        <v>0.318</v>
      </c>
      <c r="M154" s="30" t="n">
        <v>0.993</v>
      </c>
    </row>
    <row r="155" customFormat="false" ht="15" hidden="false" customHeight="true" outlineLevel="0" collapsed="false">
      <c r="A155" s="3" t="n">
        <v>154</v>
      </c>
      <c r="B155" s="4" t="s">
        <v>164</v>
      </c>
      <c r="C155" s="4" t="s">
        <v>9</v>
      </c>
      <c r="D155" s="9" t="s">
        <v>108</v>
      </c>
      <c r="E155" s="4" t="s">
        <v>339</v>
      </c>
      <c r="F155" s="4" t="n">
        <f aca="false">ROUND(INDEX(Règles!$C$5:$C$9,MATCH($D155,Règles!$A$5:$A$9,0))*$M155*$J155*Règles!$C$12,0)</f>
        <v>43</v>
      </c>
      <c r="G155" s="4" t="n">
        <f aca="false">ROUND(INDEX(Règles!$C$5:$C$9,MATCH($D155,Règles!$A$5:$A$9,0))*$M155*$K155,0)</f>
        <v>19</v>
      </c>
      <c r="H155" s="4" t="n">
        <f aca="false">ROUND(INDEX(Règles!$C$5:$C$9,MATCH($D155,Règles!$A$5:$A$9,0))*$M155*$L155,0)</f>
        <v>10</v>
      </c>
      <c r="I155" s="28" t="n">
        <f aca="false">F155/Règles!$C$12+G155+H155</f>
        <v>37.6</v>
      </c>
      <c r="J155" s="29" t="n">
        <v>0.226</v>
      </c>
      <c r="K155" s="29" t="n">
        <v>0.503</v>
      </c>
      <c r="L155" s="29" t="n">
        <v>0.271</v>
      </c>
      <c r="M155" s="30" t="n">
        <v>1.018</v>
      </c>
    </row>
    <row r="156" customFormat="false" ht="15" hidden="false" customHeight="true" outlineLevel="0" collapsed="false">
      <c r="A156" s="3" t="n">
        <v>155</v>
      </c>
      <c r="B156" s="4" t="s">
        <v>190</v>
      </c>
      <c r="C156" s="4" t="s">
        <v>23</v>
      </c>
      <c r="D156" s="9" t="s">
        <v>108</v>
      </c>
      <c r="E156" s="4" t="s">
        <v>340</v>
      </c>
      <c r="F156" s="4" t="n">
        <f aca="false">ROUND(INDEX(Règles!$C$5:$C$9,MATCH($D156,Règles!$A$5:$A$9,0))*$M156*$J156*Règles!$C$12,0)</f>
        <v>58</v>
      </c>
      <c r="G156" s="4" t="n">
        <f aca="false">ROUND(INDEX(Règles!$C$5:$C$9,MATCH($D156,Règles!$A$5:$A$9,0))*$M156*$K156,0)</f>
        <v>6</v>
      </c>
      <c r="H156" s="4" t="n">
        <f aca="false">ROUND(INDEX(Règles!$C$5:$C$9,MATCH($D156,Règles!$A$5:$A$9,0))*$M156*$L156,0)</f>
        <v>18</v>
      </c>
      <c r="I156" s="28" t="n">
        <f aca="false">F156/Règles!$C$12+G156+H156</f>
        <v>35.6</v>
      </c>
      <c r="J156" s="29" t="n">
        <v>0.323</v>
      </c>
      <c r="K156" s="29" t="n">
        <v>0.174</v>
      </c>
      <c r="L156" s="29" t="n">
        <v>0.503</v>
      </c>
      <c r="M156" s="30" t="n">
        <v>0.973</v>
      </c>
    </row>
    <row r="157" customFormat="false" ht="15" hidden="false" customHeight="true" outlineLevel="0" collapsed="false">
      <c r="A157" s="3" t="n">
        <v>156</v>
      </c>
      <c r="B157" s="4" t="s">
        <v>138</v>
      </c>
      <c r="C157" s="4" t="s">
        <v>9</v>
      </c>
      <c r="D157" s="9" t="s">
        <v>108</v>
      </c>
      <c r="E157" s="4" t="s">
        <v>341</v>
      </c>
      <c r="F157" s="4" t="n">
        <f aca="false">ROUND(INDEX(Règles!$C$5:$C$9,MATCH($D157,Règles!$A$5:$A$9,0))*$M157*$J157*Règles!$C$12,0)</f>
        <v>98</v>
      </c>
      <c r="G157" s="4" t="n">
        <f aca="false">ROUND(INDEX(Règles!$C$5:$C$9,MATCH($D157,Règles!$A$5:$A$9,0))*$M157*$K157,0)</f>
        <v>10</v>
      </c>
      <c r="H157" s="4" t="n">
        <f aca="false">ROUND(INDEX(Règles!$C$5:$C$9,MATCH($D157,Règles!$A$5:$A$9,0))*$M157*$L157,0)</f>
        <v>8</v>
      </c>
      <c r="I157" s="28" t="n">
        <f aca="false">F157/Règles!$C$12+G157+H157</f>
        <v>37.6</v>
      </c>
      <c r="J157" s="29" t="n">
        <v>0.529</v>
      </c>
      <c r="K157" s="29" t="n">
        <v>0.266</v>
      </c>
      <c r="L157" s="29" t="n">
        <v>0.205</v>
      </c>
      <c r="M157" s="30" t="n">
        <v>1.003</v>
      </c>
    </row>
    <row r="158" customFormat="false" ht="15" hidden="false" customHeight="true" outlineLevel="0" collapsed="false">
      <c r="A158" s="3" t="n">
        <v>157</v>
      </c>
      <c r="B158" s="4" t="s">
        <v>145</v>
      </c>
      <c r="C158" s="4" t="s">
        <v>9</v>
      </c>
      <c r="D158" s="9" t="s">
        <v>108</v>
      </c>
      <c r="E158" s="4" t="s">
        <v>338</v>
      </c>
      <c r="F158" s="4" t="n">
        <f aca="false">ROUND(INDEX(Règles!$C$5:$C$9,MATCH($D158,Règles!$A$5:$A$9,0))*$M158*$J158*Règles!$C$12,0)</f>
        <v>58</v>
      </c>
      <c r="G158" s="4" t="n">
        <f aca="false">ROUND(INDEX(Règles!$C$5:$C$9,MATCH($D158,Règles!$A$5:$A$9,0))*$M158*$K158,0)</f>
        <v>13</v>
      </c>
      <c r="H158" s="4" t="n">
        <f aca="false">ROUND(INDEX(Règles!$C$5:$C$9,MATCH($D158,Règles!$A$5:$A$9,0))*$M158*$L158,0)</f>
        <v>12</v>
      </c>
      <c r="I158" s="28" t="n">
        <f aca="false">F158/Règles!$C$12+G158+H158</f>
        <v>36.6</v>
      </c>
      <c r="J158" s="29" t="n">
        <v>0.318</v>
      </c>
      <c r="K158" s="29" t="n">
        <v>0.351</v>
      </c>
      <c r="L158" s="29" t="n">
        <v>0.331</v>
      </c>
      <c r="M158" s="30" t="n">
        <v>0.993</v>
      </c>
    </row>
    <row r="159" customFormat="false" ht="15" hidden="false" customHeight="true" outlineLevel="0" collapsed="false">
      <c r="A159" s="3" t="n">
        <v>158</v>
      </c>
      <c r="B159" s="4" t="s">
        <v>135</v>
      </c>
      <c r="C159" s="4" t="s">
        <v>9</v>
      </c>
      <c r="D159" s="9" t="s">
        <v>108</v>
      </c>
      <c r="E159" s="4" t="s">
        <v>339</v>
      </c>
      <c r="F159" s="4" t="n">
        <f aca="false">ROUND(INDEX(Règles!$C$5:$C$9,MATCH($D159,Règles!$A$5:$A$9,0))*$M159*$J159*Règles!$C$12,0)</f>
        <v>48</v>
      </c>
      <c r="G159" s="4" t="n">
        <f aca="false">ROUND(INDEX(Règles!$C$5:$C$9,MATCH($D159,Règles!$A$5:$A$9,0))*$M159*$K159,0)</f>
        <v>18</v>
      </c>
      <c r="H159" s="4" t="n">
        <f aca="false">ROUND(INDEX(Règles!$C$5:$C$9,MATCH($D159,Règles!$A$5:$A$9,0))*$M159*$L159,0)</f>
        <v>8</v>
      </c>
      <c r="I159" s="28" t="n">
        <f aca="false">F159/Règles!$C$12+G159+H159</f>
        <v>35.6</v>
      </c>
      <c r="J159" s="29" t="n">
        <v>0.265</v>
      </c>
      <c r="K159" s="29" t="n">
        <v>0.508</v>
      </c>
      <c r="L159" s="29" t="n">
        <v>0.227</v>
      </c>
      <c r="M159" s="30" t="n">
        <v>0.982</v>
      </c>
    </row>
    <row r="160" customFormat="false" ht="15" hidden="false" customHeight="true" outlineLevel="0" collapsed="false">
      <c r="A160" s="3" t="n">
        <v>159</v>
      </c>
      <c r="B160" s="4" t="s">
        <v>110</v>
      </c>
      <c r="C160" s="4" t="s">
        <v>9</v>
      </c>
      <c r="D160" s="9" t="s">
        <v>108</v>
      </c>
      <c r="E160" s="4" t="s">
        <v>340</v>
      </c>
      <c r="F160" s="4" t="n">
        <f aca="false">ROUND(INDEX(Règles!$C$5:$C$9,MATCH($D160,Règles!$A$5:$A$9,0))*$M160*$J160*Règles!$C$12,0)</f>
        <v>54</v>
      </c>
      <c r="G160" s="4" t="n">
        <f aca="false">ROUND(INDEX(Règles!$C$5:$C$9,MATCH($D160,Règles!$A$5:$A$9,0))*$M160*$K160,0)</f>
        <v>7</v>
      </c>
      <c r="H160" s="4" t="n">
        <f aca="false">ROUND(INDEX(Règles!$C$5:$C$9,MATCH($D160,Règles!$A$5:$A$9,0))*$M160*$L160,0)</f>
        <v>19</v>
      </c>
      <c r="I160" s="28" t="n">
        <f aca="false">F160/Règles!$C$12+G160+H160</f>
        <v>36.8</v>
      </c>
      <c r="J160" s="29" t="n">
        <v>0.294</v>
      </c>
      <c r="K160" s="29" t="n">
        <v>0.198</v>
      </c>
      <c r="L160" s="29" t="n">
        <v>0.508</v>
      </c>
      <c r="M160" s="30" t="n">
        <v>0.992</v>
      </c>
    </row>
    <row r="161" customFormat="false" ht="15" hidden="false" customHeight="true" outlineLevel="0" collapsed="false">
      <c r="A161" s="3" t="n">
        <v>160</v>
      </c>
      <c r="B161" s="4" t="s">
        <v>121</v>
      </c>
      <c r="C161" s="4" t="s">
        <v>9</v>
      </c>
      <c r="D161" s="9" t="s">
        <v>108</v>
      </c>
      <c r="E161" s="4" t="s">
        <v>341</v>
      </c>
      <c r="F161" s="4" t="n">
        <f aca="false">ROUND(INDEX(Règles!$C$5:$C$9,MATCH($D161,Règles!$A$5:$A$9,0))*$M161*$J161*Règles!$C$12,0)</f>
        <v>104</v>
      </c>
      <c r="G161" s="4" t="n">
        <f aca="false">ROUND(INDEX(Règles!$C$5:$C$9,MATCH($D161,Règles!$A$5:$A$9,0))*$M161*$K161,0)</f>
        <v>9</v>
      </c>
      <c r="H161" s="4" t="n">
        <f aca="false">ROUND(INDEX(Règles!$C$5:$C$9,MATCH($D161,Règles!$A$5:$A$9,0))*$M161*$L161,0)</f>
        <v>7</v>
      </c>
      <c r="I161" s="28" t="n">
        <f aca="false">F161/Règles!$C$12+G161+H161</f>
        <v>36.8</v>
      </c>
      <c r="J161" s="29" t="n">
        <v>0.557</v>
      </c>
      <c r="K161" s="29" t="n">
        <v>0.25</v>
      </c>
      <c r="L161" s="29" t="n">
        <v>0.193</v>
      </c>
      <c r="M161" s="30" t="n">
        <v>1.011</v>
      </c>
    </row>
    <row r="162" customFormat="false" ht="15" hidden="false" customHeight="true" outlineLevel="0" collapsed="false">
      <c r="A162" s="3" t="n">
        <v>161</v>
      </c>
      <c r="B162" s="4" t="s">
        <v>185</v>
      </c>
      <c r="C162" s="4" t="s">
        <v>23</v>
      </c>
      <c r="D162" s="9" t="s">
        <v>108</v>
      </c>
      <c r="E162" s="4" t="s">
        <v>338</v>
      </c>
      <c r="F162" s="4" t="n">
        <f aca="false">ROUND(INDEX(Règles!$C$5:$C$9,MATCH($D162,Règles!$A$5:$A$9,0))*$M162*$J162*Règles!$C$12,0)</f>
        <v>63</v>
      </c>
      <c r="G162" s="4" t="n">
        <f aca="false">ROUND(INDEX(Règles!$C$5:$C$9,MATCH($D162,Règles!$A$5:$A$9,0))*$M162*$K162,0)</f>
        <v>12</v>
      </c>
      <c r="H162" s="4" t="n">
        <f aca="false">ROUND(INDEX(Règles!$C$5:$C$9,MATCH($D162,Règles!$A$5:$A$9,0))*$M162*$L162,0)</f>
        <v>11</v>
      </c>
      <c r="I162" s="28" t="n">
        <f aca="false">F162/Règles!$C$12+G162+H162</f>
        <v>35.6</v>
      </c>
      <c r="J162" s="29" t="n">
        <v>0.348</v>
      </c>
      <c r="K162" s="29" t="n">
        <v>0.344</v>
      </c>
      <c r="L162" s="29" t="n">
        <v>0.308</v>
      </c>
      <c r="M162" s="30" t="n">
        <v>0.978</v>
      </c>
    </row>
    <row r="163" customFormat="false" ht="15" hidden="false" customHeight="true" outlineLevel="0" collapsed="false">
      <c r="A163" s="3" t="n">
        <v>162</v>
      </c>
      <c r="B163" s="4" t="s">
        <v>171</v>
      </c>
      <c r="C163" s="4" t="s">
        <v>23</v>
      </c>
      <c r="D163" s="9" t="s">
        <v>108</v>
      </c>
      <c r="E163" s="4" t="s">
        <v>339</v>
      </c>
      <c r="F163" s="4" t="n">
        <f aca="false">ROUND(INDEX(Règles!$C$5:$C$9,MATCH($D163,Règles!$A$5:$A$9,0))*$M163*$J163*Règles!$C$12,0)</f>
        <v>48</v>
      </c>
      <c r="G163" s="4" t="n">
        <f aca="false">ROUND(INDEX(Règles!$C$5:$C$9,MATCH($D163,Règles!$A$5:$A$9,0))*$M163*$K163,0)</f>
        <v>17</v>
      </c>
      <c r="H163" s="4" t="n">
        <f aca="false">ROUND(INDEX(Règles!$C$5:$C$9,MATCH($D163,Règles!$A$5:$A$9,0))*$M163*$L163,0)</f>
        <v>9</v>
      </c>
      <c r="I163" s="28" t="n">
        <f aca="false">F163/Règles!$C$12+G163+H163</f>
        <v>35.6</v>
      </c>
      <c r="J163" s="29" t="n">
        <v>0.268</v>
      </c>
      <c r="K163" s="29" t="n">
        <v>0.475</v>
      </c>
      <c r="L163" s="29" t="n">
        <v>0.257</v>
      </c>
      <c r="M163" s="30" t="n">
        <v>0.974</v>
      </c>
    </row>
    <row r="164" customFormat="false" ht="15" hidden="false" customHeight="true" outlineLevel="0" collapsed="false">
      <c r="A164" s="3" t="n">
        <v>163</v>
      </c>
      <c r="B164" s="4" t="s">
        <v>139</v>
      </c>
      <c r="C164" s="4" t="s">
        <v>9</v>
      </c>
      <c r="D164" s="9" t="s">
        <v>108</v>
      </c>
      <c r="E164" s="4" t="s">
        <v>340</v>
      </c>
      <c r="F164" s="4" t="n">
        <f aca="false">ROUND(INDEX(Règles!$C$5:$C$9,MATCH($D164,Règles!$A$5:$A$9,0))*$M164*$J164*Règles!$C$12,0)</f>
        <v>51</v>
      </c>
      <c r="G164" s="4" t="n">
        <f aca="false">ROUND(INDEX(Règles!$C$5:$C$9,MATCH($D164,Règles!$A$5:$A$9,0))*$M164*$K164,0)</f>
        <v>8</v>
      </c>
      <c r="H164" s="4" t="n">
        <f aca="false">ROUND(INDEX(Règles!$C$5:$C$9,MATCH($D164,Règles!$A$5:$A$9,0))*$M164*$L164,0)</f>
        <v>20</v>
      </c>
      <c r="I164" s="28" t="n">
        <f aca="false">F164/Règles!$C$12+G164+H164</f>
        <v>38.2</v>
      </c>
      <c r="J164" s="29" t="n">
        <v>0.27</v>
      </c>
      <c r="K164" s="29" t="n">
        <v>0.213</v>
      </c>
      <c r="L164" s="29" t="n">
        <v>0.517</v>
      </c>
      <c r="M164" s="30" t="n">
        <v>1.022</v>
      </c>
    </row>
    <row r="165" customFormat="false" ht="15" hidden="false" customHeight="true" outlineLevel="0" collapsed="false">
      <c r="A165" s="3" t="n">
        <v>164</v>
      </c>
      <c r="B165" s="4" t="s">
        <v>179</v>
      </c>
      <c r="C165" s="4" t="s">
        <v>23</v>
      </c>
      <c r="D165" s="9" t="s">
        <v>108</v>
      </c>
      <c r="E165" s="4" t="s">
        <v>341</v>
      </c>
      <c r="F165" s="4" t="n">
        <f aca="false">ROUND(INDEX(Règles!$C$5:$C$9,MATCH($D165,Règles!$A$5:$A$9,0))*$M165*$J165*Règles!$C$12,0)</f>
        <v>108</v>
      </c>
      <c r="G165" s="4" t="n">
        <f aca="false">ROUND(INDEX(Règles!$C$5:$C$9,MATCH($D165,Règles!$A$5:$A$9,0))*$M165*$K165,0)</f>
        <v>9</v>
      </c>
      <c r="H165" s="4" t="n">
        <f aca="false">ROUND(INDEX(Règles!$C$5:$C$9,MATCH($D165,Règles!$A$5:$A$9,0))*$M165*$L165,0)</f>
        <v>8</v>
      </c>
      <c r="I165" s="28" t="n">
        <f aca="false">F165/Règles!$C$12+G165+H165</f>
        <v>38.6</v>
      </c>
      <c r="J165" s="29" t="n">
        <v>0.574</v>
      </c>
      <c r="K165" s="29" t="n">
        <v>0.226</v>
      </c>
      <c r="L165" s="29" t="n">
        <v>0.2</v>
      </c>
      <c r="M165" s="30" t="n">
        <v>1.02</v>
      </c>
    </row>
    <row r="166" customFormat="false" ht="15" hidden="false" customHeight="true" outlineLevel="0" collapsed="false">
      <c r="A166" s="3" t="n">
        <v>165</v>
      </c>
      <c r="B166" s="4" t="s">
        <v>194</v>
      </c>
      <c r="C166" s="4" t="s">
        <v>23</v>
      </c>
      <c r="D166" s="9" t="s">
        <v>108</v>
      </c>
      <c r="E166" s="4" t="s">
        <v>338</v>
      </c>
      <c r="F166" s="4" t="n">
        <f aca="false">ROUND(INDEX(Règles!$C$5:$C$9,MATCH($D166,Règles!$A$5:$A$9,0))*$M166*$J166*Règles!$C$12,0)</f>
        <v>62</v>
      </c>
      <c r="G166" s="4" t="n">
        <f aca="false">ROUND(INDEX(Règles!$C$5:$C$9,MATCH($D166,Règles!$A$5:$A$9,0))*$M166*$K166,0)</f>
        <v>12</v>
      </c>
      <c r="H166" s="4" t="n">
        <f aca="false">ROUND(INDEX(Règles!$C$5:$C$9,MATCH($D166,Règles!$A$5:$A$9,0))*$M166*$L166,0)</f>
        <v>12</v>
      </c>
      <c r="I166" s="28" t="n">
        <f aca="false">F166/Règles!$C$12+G166+H166</f>
        <v>36.4</v>
      </c>
      <c r="J166" s="29" t="n">
        <v>0.337</v>
      </c>
      <c r="K166" s="29" t="n">
        <v>0.329</v>
      </c>
      <c r="L166" s="29" t="n">
        <v>0.334</v>
      </c>
      <c r="M166" s="30" t="n">
        <v>0.995</v>
      </c>
    </row>
    <row r="167" customFormat="false" ht="15" hidden="false" customHeight="true" outlineLevel="0" collapsed="false">
      <c r="A167" s="3" t="n">
        <v>166</v>
      </c>
      <c r="B167" s="4" t="s">
        <v>175</v>
      </c>
      <c r="C167" s="4" t="s">
        <v>23</v>
      </c>
      <c r="D167" s="9" t="s">
        <v>108</v>
      </c>
      <c r="E167" s="4" t="s">
        <v>339</v>
      </c>
      <c r="F167" s="4" t="n">
        <f aca="false">ROUND(INDEX(Règles!$C$5:$C$9,MATCH($D167,Règles!$A$5:$A$9,0))*$M167*$J167*Règles!$C$12,0)</f>
        <v>43</v>
      </c>
      <c r="G167" s="4" t="n">
        <f aca="false">ROUND(INDEX(Règles!$C$5:$C$9,MATCH($D167,Règles!$A$5:$A$9,0))*$M167*$K167,0)</f>
        <v>18</v>
      </c>
      <c r="H167" s="4" t="n">
        <f aca="false">ROUND(INDEX(Règles!$C$5:$C$9,MATCH($D167,Règles!$A$5:$A$9,0))*$M167*$L167,0)</f>
        <v>10</v>
      </c>
      <c r="I167" s="28" t="n">
        <f aca="false">F167/Règles!$C$12+G167+H167</f>
        <v>36.6</v>
      </c>
      <c r="J167" s="29" t="n">
        <v>0.237</v>
      </c>
      <c r="K167" s="29" t="n">
        <v>0.5</v>
      </c>
      <c r="L167" s="29" t="n">
        <v>0.263</v>
      </c>
      <c r="M167" s="30" t="n">
        <v>0.981</v>
      </c>
    </row>
    <row r="168" customFormat="false" ht="15" hidden="false" customHeight="true" outlineLevel="0" collapsed="false">
      <c r="A168" s="3" t="n">
        <v>167</v>
      </c>
      <c r="B168" s="4" t="s">
        <v>116</v>
      </c>
      <c r="C168" s="4" t="s">
        <v>9</v>
      </c>
      <c r="D168" s="9" t="s">
        <v>108</v>
      </c>
      <c r="E168" s="4" t="s">
        <v>340</v>
      </c>
      <c r="F168" s="4" t="n">
        <f aca="false">ROUND(INDEX(Règles!$C$5:$C$9,MATCH($D168,Règles!$A$5:$A$9,0))*$M168*$J168*Règles!$C$12,0)</f>
        <v>55</v>
      </c>
      <c r="G168" s="4" t="n">
        <f aca="false">ROUND(INDEX(Règles!$C$5:$C$9,MATCH($D168,Règles!$A$5:$A$9,0))*$M168*$K168,0)</f>
        <v>8</v>
      </c>
      <c r="H168" s="4" t="n">
        <f aca="false">ROUND(INDEX(Règles!$C$5:$C$9,MATCH($D168,Règles!$A$5:$A$9,0))*$M168*$L168,0)</f>
        <v>19</v>
      </c>
      <c r="I168" s="28" t="n">
        <f aca="false">F168/Règles!$C$12+G168+H168</f>
        <v>38</v>
      </c>
      <c r="J168" s="29" t="n">
        <v>0.288</v>
      </c>
      <c r="K168" s="29" t="n">
        <v>0.199</v>
      </c>
      <c r="L168" s="29" t="n">
        <v>0.513</v>
      </c>
      <c r="M168" s="30" t="n">
        <v>1.026</v>
      </c>
    </row>
    <row r="169" customFormat="false" ht="15" hidden="false" customHeight="true" outlineLevel="0" collapsed="false">
      <c r="A169" s="3" t="n">
        <v>168</v>
      </c>
      <c r="B169" s="4" t="s">
        <v>128</v>
      </c>
      <c r="C169" s="4" t="s">
        <v>9</v>
      </c>
      <c r="D169" s="9" t="s">
        <v>108</v>
      </c>
      <c r="E169" s="4" t="s">
        <v>341</v>
      </c>
      <c r="F169" s="4" t="n">
        <f aca="false">ROUND(INDEX(Règles!$C$5:$C$9,MATCH($D169,Règles!$A$5:$A$9,0))*$M169*$J169*Règles!$C$12,0)</f>
        <v>97</v>
      </c>
      <c r="G169" s="4" t="n">
        <f aca="false">ROUND(INDEX(Règles!$C$5:$C$9,MATCH($D169,Règles!$A$5:$A$9,0))*$M169*$K169,0)</f>
        <v>9</v>
      </c>
      <c r="H169" s="4" t="n">
        <f aca="false">ROUND(INDEX(Règles!$C$5:$C$9,MATCH($D169,Règles!$A$5:$A$9,0))*$M169*$L169,0)</f>
        <v>7</v>
      </c>
      <c r="I169" s="28" t="n">
        <f aca="false">F169/Règles!$C$12+G169+H169</f>
        <v>35.4</v>
      </c>
      <c r="J169" s="29" t="n">
        <v>0.541</v>
      </c>
      <c r="K169" s="29" t="n">
        <v>0.251</v>
      </c>
      <c r="L169" s="29" t="n">
        <v>0.208</v>
      </c>
      <c r="M169" s="30" t="n">
        <v>0.974</v>
      </c>
    </row>
    <row r="170" customFormat="false" ht="15" hidden="false" customHeight="true" outlineLevel="0" collapsed="false">
      <c r="A170" s="3" t="n">
        <v>169</v>
      </c>
      <c r="B170" s="4" t="s">
        <v>157</v>
      </c>
      <c r="C170" s="4" t="s">
        <v>9</v>
      </c>
      <c r="D170" s="9" t="s">
        <v>108</v>
      </c>
      <c r="E170" s="4" t="s">
        <v>338</v>
      </c>
      <c r="F170" s="4" t="n">
        <f aca="false">ROUND(INDEX(Règles!$C$5:$C$9,MATCH($D170,Règles!$A$5:$A$9,0))*$M170*$J170*Règles!$C$12,0)</f>
        <v>67</v>
      </c>
      <c r="G170" s="4" t="n">
        <f aca="false">ROUND(INDEX(Règles!$C$5:$C$9,MATCH($D170,Règles!$A$5:$A$9,0))*$M170*$K170,0)</f>
        <v>12</v>
      </c>
      <c r="H170" s="4" t="n">
        <f aca="false">ROUND(INDEX(Règles!$C$5:$C$9,MATCH($D170,Règles!$A$5:$A$9,0))*$M170*$L170,0)</f>
        <v>12</v>
      </c>
      <c r="I170" s="28" t="n">
        <f aca="false">F170/Règles!$C$12+G170+H170</f>
        <v>37.4</v>
      </c>
      <c r="J170" s="29" t="n">
        <v>0.36</v>
      </c>
      <c r="K170" s="29" t="n">
        <v>0.318</v>
      </c>
      <c r="L170" s="29" t="n">
        <v>0.322</v>
      </c>
      <c r="M170" s="30" t="n">
        <v>1.008</v>
      </c>
    </row>
    <row r="171" customFormat="false" ht="15" hidden="false" customHeight="true" outlineLevel="0" collapsed="false">
      <c r="A171" s="3" t="n">
        <v>170</v>
      </c>
      <c r="B171" s="4" t="s">
        <v>166</v>
      </c>
      <c r="C171" s="4" t="s">
        <v>9</v>
      </c>
      <c r="D171" s="9" t="s">
        <v>108</v>
      </c>
      <c r="E171" s="4" t="s">
        <v>339</v>
      </c>
      <c r="F171" s="4" t="n">
        <f aca="false">ROUND(INDEX(Règles!$C$5:$C$9,MATCH($D171,Règles!$A$5:$A$9,0))*$M171*$J171*Règles!$C$12,0)</f>
        <v>43</v>
      </c>
      <c r="G171" s="4" t="n">
        <f aca="false">ROUND(INDEX(Règles!$C$5:$C$9,MATCH($D171,Règles!$A$5:$A$9,0))*$M171*$K171,0)</f>
        <v>18</v>
      </c>
      <c r="H171" s="4" t="n">
        <f aca="false">ROUND(INDEX(Règles!$C$5:$C$9,MATCH($D171,Règles!$A$5:$A$9,0))*$M171*$L171,0)</f>
        <v>10</v>
      </c>
      <c r="I171" s="28" t="n">
        <f aca="false">F171/Règles!$C$12+G171+H171</f>
        <v>36.6</v>
      </c>
      <c r="J171" s="29" t="n">
        <v>0.237</v>
      </c>
      <c r="K171" s="29" t="n">
        <v>0.487</v>
      </c>
      <c r="L171" s="29" t="n">
        <v>0.276</v>
      </c>
      <c r="M171" s="30" t="n">
        <v>0.976</v>
      </c>
    </row>
    <row r="172" customFormat="false" ht="15" hidden="false" customHeight="true" outlineLevel="0" collapsed="false">
      <c r="A172" s="3" t="n">
        <v>171</v>
      </c>
      <c r="B172" s="4" t="s">
        <v>133</v>
      </c>
      <c r="C172" s="4" t="s">
        <v>9</v>
      </c>
      <c r="D172" s="9" t="s">
        <v>108</v>
      </c>
      <c r="E172" s="4" t="s">
        <v>340</v>
      </c>
      <c r="F172" s="4" t="n">
        <f aca="false">ROUND(INDEX(Règles!$C$5:$C$9,MATCH($D172,Règles!$A$5:$A$9,0))*$M172*$J172*Règles!$C$12,0)</f>
        <v>52</v>
      </c>
      <c r="G172" s="4" t="n">
        <f aca="false">ROUND(INDEX(Règles!$C$5:$C$9,MATCH($D172,Règles!$A$5:$A$9,0))*$M172*$K172,0)</f>
        <v>7</v>
      </c>
      <c r="H172" s="4" t="n">
        <f aca="false">ROUND(INDEX(Règles!$C$5:$C$9,MATCH($D172,Règles!$A$5:$A$9,0))*$M172*$L172,0)</f>
        <v>20</v>
      </c>
      <c r="I172" s="28" t="n">
        <f aca="false">F172/Règles!$C$12+G172+H172</f>
        <v>37.4</v>
      </c>
      <c r="J172" s="29" t="n">
        <v>0.281</v>
      </c>
      <c r="K172" s="29" t="n">
        <v>0.184</v>
      </c>
      <c r="L172" s="29" t="n">
        <v>0.535</v>
      </c>
      <c r="M172" s="30" t="n">
        <v>0.998</v>
      </c>
    </row>
    <row r="173" customFormat="false" ht="15" hidden="false" customHeight="true" outlineLevel="0" collapsed="false">
      <c r="A173" s="3" t="n">
        <v>172</v>
      </c>
      <c r="B173" s="4" t="s">
        <v>181</v>
      </c>
      <c r="C173" s="4" t="s">
        <v>23</v>
      </c>
      <c r="D173" s="9" t="s">
        <v>108</v>
      </c>
      <c r="E173" s="4" t="s">
        <v>341</v>
      </c>
      <c r="F173" s="4" t="n">
        <f aca="false">ROUND(INDEX(Règles!$C$5:$C$9,MATCH($D173,Règles!$A$5:$A$9,0))*$M173*$J173*Règles!$C$12,0)</f>
        <v>108</v>
      </c>
      <c r="G173" s="4" t="n">
        <f aca="false">ROUND(INDEX(Règles!$C$5:$C$9,MATCH($D173,Règles!$A$5:$A$9,0))*$M173*$K173,0)</f>
        <v>9</v>
      </c>
      <c r="H173" s="4" t="n">
        <f aca="false">ROUND(INDEX(Règles!$C$5:$C$9,MATCH($D173,Règles!$A$5:$A$9,0))*$M173*$L173,0)</f>
        <v>7</v>
      </c>
      <c r="I173" s="28" t="n">
        <f aca="false">F173/Règles!$C$12+G173+H173</f>
        <v>37.6</v>
      </c>
      <c r="J173" s="29" t="n">
        <v>0.575</v>
      </c>
      <c r="K173" s="29" t="n">
        <v>0.24</v>
      </c>
      <c r="L173" s="29" t="n">
        <v>0.185</v>
      </c>
      <c r="M173" s="30" t="n">
        <v>1.018</v>
      </c>
    </row>
    <row r="174" customFormat="false" ht="15" hidden="false" customHeight="true" outlineLevel="0" collapsed="false">
      <c r="A174" s="3" t="n">
        <v>173</v>
      </c>
      <c r="B174" s="4" t="s">
        <v>125</v>
      </c>
      <c r="C174" s="4" t="s">
        <v>9</v>
      </c>
      <c r="D174" s="9" t="s">
        <v>108</v>
      </c>
      <c r="E174" s="4" t="s">
        <v>338</v>
      </c>
      <c r="F174" s="4" t="n">
        <f aca="false">ROUND(INDEX(Règles!$C$5:$C$9,MATCH($D174,Règles!$A$5:$A$9,0))*$M174*$J174*Règles!$C$12,0)</f>
        <v>61</v>
      </c>
      <c r="G174" s="4" t="n">
        <f aca="false">ROUND(INDEX(Règles!$C$5:$C$9,MATCH($D174,Règles!$A$5:$A$9,0))*$M174*$K174,0)</f>
        <v>13</v>
      </c>
      <c r="H174" s="4" t="n">
        <f aca="false">ROUND(INDEX(Règles!$C$5:$C$9,MATCH($D174,Règles!$A$5:$A$9,0))*$M174*$L174,0)</f>
        <v>12</v>
      </c>
      <c r="I174" s="28" t="n">
        <f aca="false">F174/Règles!$C$12+G174+H174</f>
        <v>37.2</v>
      </c>
      <c r="J174" s="29" t="n">
        <v>0.33</v>
      </c>
      <c r="K174" s="29" t="n">
        <v>0.356</v>
      </c>
      <c r="L174" s="29" t="n">
        <v>0.314</v>
      </c>
      <c r="M174" s="30" t="n">
        <v>0.993</v>
      </c>
    </row>
    <row r="175" customFormat="false" ht="15" hidden="false" customHeight="true" outlineLevel="0" collapsed="false">
      <c r="A175" s="3" t="n">
        <v>174</v>
      </c>
      <c r="B175" s="4" t="s">
        <v>122</v>
      </c>
      <c r="C175" s="4" t="s">
        <v>9</v>
      </c>
      <c r="D175" s="9" t="s">
        <v>108</v>
      </c>
      <c r="E175" s="4" t="s">
        <v>339</v>
      </c>
      <c r="F175" s="4" t="n">
        <f aca="false">ROUND(INDEX(Règles!$C$5:$C$9,MATCH($D175,Règles!$A$5:$A$9,0))*$M175*$J175*Règles!$C$12,0)</f>
        <v>42</v>
      </c>
      <c r="G175" s="4" t="n">
        <f aca="false">ROUND(INDEX(Règles!$C$5:$C$9,MATCH($D175,Règles!$A$5:$A$9,0))*$M175*$K175,0)</f>
        <v>18</v>
      </c>
      <c r="H175" s="4" t="n">
        <f aca="false">ROUND(INDEX(Règles!$C$5:$C$9,MATCH($D175,Règles!$A$5:$A$9,0))*$M175*$L175,0)</f>
        <v>9</v>
      </c>
      <c r="I175" s="28" t="n">
        <f aca="false">F175/Règles!$C$12+G175+H175</f>
        <v>35.4</v>
      </c>
      <c r="J175" s="29" t="n">
        <v>0.232</v>
      </c>
      <c r="K175" s="29" t="n">
        <v>0.507</v>
      </c>
      <c r="L175" s="29" t="n">
        <v>0.261</v>
      </c>
      <c r="M175" s="30" t="n">
        <v>0.971</v>
      </c>
    </row>
    <row r="176" customFormat="false" ht="15" hidden="false" customHeight="true" outlineLevel="0" collapsed="false">
      <c r="A176" s="3" t="n">
        <v>175</v>
      </c>
      <c r="B176" s="4" t="s">
        <v>117</v>
      </c>
      <c r="C176" s="4" t="s">
        <v>9</v>
      </c>
      <c r="D176" s="9" t="s">
        <v>108</v>
      </c>
      <c r="E176" s="4" t="s">
        <v>340</v>
      </c>
      <c r="F176" s="4" t="n">
        <f aca="false">ROUND(INDEX(Règles!$C$5:$C$9,MATCH($D176,Règles!$A$5:$A$9,0))*$M176*$J176*Règles!$C$12,0)</f>
        <v>56</v>
      </c>
      <c r="G176" s="4" t="n">
        <f aca="false">ROUND(INDEX(Règles!$C$5:$C$9,MATCH($D176,Règles!$A$5:$A$9,0))*$M176*$K176,0)</f>
        <v>7</v>
      </c>
      <c r="H176" s="4" t="n">
        <f aca="false">ROUND(INDEX(Règles!$C$5:$C$9,MATCH($D176,Règles!$A$5:$A$9,0))*$M176*$L176,0)</f>
        <v>19</v>
      </c>
      <c r="I176" s="28" t="n">
        <f aca="false">F176/Règles!$C$12+G176+H176</f>
        <v>37.2</v>
      </c>
      <c r="J176" s="29" t="n">
        <v>0.31</v>
      </c>
      <c r="K176" s="29" t="n">
        <v>0.179</v>
      </c>
      <c r="L176" s="29" t="n">
        <v>0.511</v>
      </c>
      <c r="M176" s="30" t="n">
        <v>0.982</v>
      </c>
    </row>
    <row r="177" customFormat="false" ht="15" hidden="false" customHeight="true" outlineLevel="0" collapsed="false">
      <c r="A177" s="3" t="n">
        <v>176</v>
      </c>
      <c r="B177" s="4" t="s">
        <v>189</v>
      </c>
      <c r="C177" s="4" t="s">
        <v>23</v>
      </c>
      <c r="D177" s="9" t="s">
        <v>108</v>
      </c>
      <c r="E177" s="4" t="s">
        <v>341</v>
      </c>
      <c r="F177" s="4" t="n">
        <f aca="false">ROUND(INDEX(Règles!$C$5:$C$9,MATCH($D177,Règles!$A$5:$A$9,0))*$M177*$J177*Règles!$C$12,0)</f>
        <v>103</v>
      </c>
      <c r="G177" s="4" t="n">
        <f aca="false">ROUND(INDEX(Règles!$C$5:$C$9,MATCH($D177,Règles!$A$5:$A$9,0))*$M177*$K177,0)</f>
        <v>9</v>
      </c>
      <c r="H177" s="4" t="n">
        <f aca="false">ROUND(INDEX(Règles!$C$5:$C$9,MATCH($D177,Règles!$A$5:$A$9,0))*$M177*$L177,0)</f>
        <v>8</v>
      </c>
      <c r="I177" s="28" t="n">
        <f aca="false">F177/Règles!$C$12+G177+H177</f>
        <v>37.6</v>
      </c>
      <c r="J177" s="29" t="n">
        <v>0.548</v>
      </c>
      <c r="K177" s="29" t="n">
        <v>0.244</v>
      </c>
      <c r="L177" s="29" t="n">
        <v>0.208</v>
      </c>
      <c r="M177" s="30" t="n">
        <v>1.019</v>
      </c>
    </row>
    <row r="178" customFormat="false" ht="15" hidden="false" customHeight="true" outlineLevel="0" collapsed="false">
      <c r="A178" s="3" t="n">
        <v>177</v>
      </c>
      <c r="B178" s="4" t="s">
        <v>124</v>
      </c>
      <c r="C178" s="4" t="s">
        <v>9</v>
      </c>
      <c r="D178" s="9" t="s">
        <v>108</v>
      </c>
      <c r="E178" s="4" t="s">
        <v>338</v>
      </c>
      <c r="F178" s="4" t="n">
        <f aca="false">ROUND(INDEX(Règles!$C$5:$C$9,MATCH($D178,Règles!$A$5:$A$9,0))*$M178*$J178*Règles!$C$12,0)</f>
        <v>62</v>
      </c>
      <c r="G178" s="4" t="n">
        <f aca="false">ROUND(INDEX(Règles!$C$5:$C$9,MATCH($D178,Règles!$A$5:$A$9,0))*$M178*$K178,0)</f>
        <v>12</v>
      </c>
      <c r="H178" s="4" t="n">
        <f aca="false">ROUND(INDEX(Règles!$C$5:$C$9,MATCH($D178,Règles!$A$5:$A$9,0))*$M178*$L178,0)</f>
        <v>13</v>
      </c>
      <c r="I178" s="28" t="n">
        <f aca="false">F178/Règles!$C$12+G178+H178</f>
        <v>37.4</v>
      </c>
      <c r="J178" s="29" t="n">
        <v>0.327</v>
      </c>
      <c r="K178" s="29" t="n">
        <v>0.326</v>
      </c>
      <c r="L178" s="29" t="n">
        <v>0.347</v>
      </c>
      <c r="M178" s="30" t="n">
        <v>1.017</v>
      </c>
    </row>
    <row r="179" customFormat="false" ht="15" hidden="false" customHeight="true" outlineLevel="0" collapsed="false">
      <c r="A179" s="3" t="n">
        <v>178</v>
      </c>
      <c r="B179" s="4" t="s">
        <v>131</v>
      </c>
      <c r="C179" s="4" t="s">
        <v>9</v>
      </c>
      <c r="D179" s="9" t="s">
        <v>108</v>
      </c>
      <c r="E179" s="4" t="s">
        <v>339</v>
      </c>
      <c r="F179" s="4" t="n">
        <f aca="false">ROUND(INDEX(Règles!$C$5:$C$9,MATCH($D179,Règles!$A$5:$A$9,0))*$M179*$J179*Règles!$C$12,0)</f>
        <v>50</v>
      </c>
      <c r="G179" s="4" t="n">
        <f aca="false">ROUND(INDEX(Règles!$C$5:$C$9,MATCH($D179,Règles!$A$5:$A$9,0))*$M179*$K179,0)</f>
        <v>18</v>
      </c>
      <c r="H179" s="4" t="n">
        <f aca="false">ROUND(INDEX(Règles!$C$5:$C$9,MATCH($D179,Règles!$A$5:$A$9,0))*$M179*$L179,0)</f>
        <v>9</v>
      </c>
      <c r="I179" s="28" t="n">
        <f aca="false">F179/Règles!$C$12+G179+H179</f>
        <v>37</v>
      </c>
      <c r="J179" s="29" t="n">
        <v>0.277</v>
      </c>
      <c r="K179" s="29" t="n">
        <v>0.488</v>
      </c>
      <c r="L179" s="29" t="n">
        <v>0.235</v>
      </c>
      <c r="M179" s="30" t="n">
        <v>0.985</v>
      </c>
    </row>
    <row r="180" customFormat="false" ht="15" hidden="false" customHeight="true" outlineLevel="0" collapsed="false">
      <c r="A180" s="3" t="n">
        <v>179</v>
      </c>
      <c r="B180" s="4" t="s">
        <v>192</v>
      </c>
      <c r="C180" s="4" t="s">
        <v>23</v>
      </c>
      <c r="D180" s="9" t="s">
        <v>108</v>
      </c>
      <c r="E180" s="4" t="s">
        <v>340</v>
      </c>
      <c r="F180" s="4" t="n">
        <f aca="false">ROUND(INDEX(Règles!$C$5:$C$9,MATCH($D180,Règles!$A$5:$A$9,0))*$M180*$J180*Règles!$C$12,0)</f>
        <v>52</v>
      </c>
      <c r="G180" s="4" t="n">
        <f aca="false">ROUND(INDEX(Règles!$C$5:$C$9,MATCH($D180,Règles!$A$5:$A$9,0))*$M180*$K180,0)</f>
        <v>7</v>
      </c>
      <c r="H180" s="4" t="n">
        <f aca="false">ROUND(INDEX(Règles!$C$5:$C$9,MATCH($D180,Règles!$A$5:$A$9,0))*$M180*$L180,0)</f>
        <v>19</v>
      </c>
      <c r="I180" s="28" t="n">
        <f aca="false">F180/Règles!$C$12+G180+H180</f>
        <v>36.4</v>
      </c>
      <c r="J180" s="29" t="n">
        <v>0.285</v>
      </c>
      <c r="K180" s="29" t="n">
        <v>0.191</v>
      </c>
      <c r="L180" s="29" t="n">
        <v>0.524</v>
      </c>
      <c r="M180" s="30" t="n">
        <v>0.992</v>
      </c>
    </row>
    <row r="181" customFormat="false" ht="15" hidden="false" customHeight="true" outlineLevel="0" collapsed="false">
      <c r="A181" s="3" t="n">
        <v>180</v>
      </c>
      <c r="B181" s="4" t="s">
        <v>144</v>
      </c>
      <c r="C181" s="4" t="s">
        <v>9</v>
      </c>
      <c r="D181" s="9" t="s">
        <v>108</v>
      </c>
      <c r="E181" s="4" t="s">
        <v>341</v>
      </c>
      <c r="F181" s="4" t="n">
        <f aca="false">ROUND(INDEX(Règles!$C$5:$C$9,MATCH($D181,Règles!$A$5:$A$9,0))*$M181*$J181*Règles!$C$12,0)</f>
        <v>100</v>
      </c>
      <c r="G181" s="4" t="n">
        <f aca="false">ROUND(INDEX(Règles!$C$5:$C$9,MATCH($D181,Règles!$A$5:$A$9,0))*$M181*$K181,0)</f>
        <v>9</v>
      </c>
      <c r="H181" s="4" t="n">
        <f aca="false">ROUND(INDEX(Règles!$C$5:$C$9,MATCH($D181,Règles!$A$5:$A$9,0))*$M181*$L181,0)</f>
        <v>7</v>
      </c>
      <c r="I181" s="28" t="n">
        <f aca="false">F181/Règles!$C$12+G181+H181</f>
        <v>36</v>
      </c>
      <c r="J181" s="29" t="n">
        <v>0.557</v>
      </c>
      <c r="K181" s="29" t="n">
        <v>0.242</v>
      </c>
      <c r="L181" s="29" t="n">
        <v>0.201</v>
      </c>
      <c r="M181" s="30" t="n">
        <v>0.974</v>
      </c>
    </row>
    <row r="182" customFormat="false" ht="15" hidden="false" customHeight="true" outlineLevel="0" collapsed="false">
      <c r="A182" s="3" t="n">
        <v>181</v>
      </c>
      <c r="B182" s="4" t="s">
        <v>129</v>
      </c>
      <c r="C182" s="4" t="s">
        <v>9</v>
      </c>
      <c r="D182" s="9" t="s">
        <v>108</v>
      </c>
      <c r="E182" s="4" t="s">
        <v>338</v>
      </c>
      <c r="F182" s="4" t="n">
        <f aca="false">ROUND(INDEX(Règles!$C$5:$C$9,MATCH($D182,Règles!$A$5:$A$9,0))*$M182*$J182*Règles!$C$12,0)</f>
        <v>65</v>
      </c>
      <c r="G182" s="4" t="n">
        <f aca="false">ROUND(INDEX(Règles!$C$5:$C$9,MATCH($D182,Règles!$A$5:$A$9,0))*$M182*$K182,0)</f>
        <v>11</v>
      </c>
      <c r="H182" s="4" t="n">
        <f aca="false">ROUND(INDEX(Règles!$C$5:$C$9,MATCH($D182,Règles!$A$5:$A$9,0))*$M182*$L182,0)</f>
        <v>13</v>
      </c>
      <c r="I182" s="28" t="n">
        <f aca="false">F182/Règles!$C$12+G182+H182</f>
        <v>37</v>
      </c>
      <c r="J182" s="29" t="n">
        <v>0.343</v>
      </c>
      <c r="K182" s="29" t="n">
        <v>0.303</v>
      </c>
      <c r="L182" s="29" t="n">
        <v>0.354</v>
      </c>
      <c r="M182" s="30" t="n">
        <v>1.018</v>
      </c>
    </row>
    <row r="183" customFormat="false" ht="15" hidden="false" customHeight="true" outlineLevel="0" collapsed="false">
      <c r="A183" s="3" t="n">
        <v>182</v>
      </c>
      <c r="B183" s="4" t="s">
        <v>161</v>
      </c>
      <c r="C183" s="4" t="s">
        <v>9</v>
      </c>
      <c r="D183" s="9" t="s">
        <v>108</v>
      </c>
      <c r="E183" s="4" t="s">
        <v>339</v>
      </c>
      <c r="F183" s="4" t="n">
        <f aca="false">ROUND(INDEX(Règles!$C$5:$C$9,MATCH($D183,Règles!$A$5:$A$9,0))*$M183*$J183*Règles!$C$12,0)</f>
        <v>51</v>
      </c>
      <c r="G183" s="4" t="n">
        <f aca="false">ROUND(INDEX(Règles!$C$5:$C$9,MATCH($D183,Règles!$A$5:$A$9,0))*$M183*$K183,0)</f>
        <v>18</v>
      </c>
      <c r="H183" s="4" t="n">
        <f aca="false">ROUND(INDEX(Règles!$C$5:$C$9,MATCH($D183,Règles!$A$5:$A$9,0))*$M183*$L183,0)</f>
        <v>10</v>
      </c>
      <c r="I183" s="28" t="n">
        <f aca="false">F183/Règles!$C$12+G183+H183</f>
        <v>38.2</v>
      </c>
      <c r="J183" s="29" t="n">
        <v>0.269</v>
      </c>
      <c r="K183" s="29" t="n">
        <v>0.476</v>
      </c>
      <c r="L183" s="29" t="n">
        <v>0.255</v>
      </c>
      <c r="M183" s="30" t="n">
        <v>1.021</v>
      </c>
    </row>
    <row r="184" customFormat="false" ht="15" hidden="false" customHeight="true" outlineLevel="0" collapsed="false">
      <c r="A184" s="3" t="n">
        <v>183</v>
      </c>
      <c r="B184" s="4" t="s">
        <v>172</v>
      </c>
      <c r="C184" s="4" t="s">
        <v>23</v>
      </c>
      <c r="D184" s="9" t="s">
        <v>108</v>
      </c>
      <c r="E184" s="4" t="s">
        <v>340</v>
      </c>
      <c r="F184" s="4" t="n">
        <f aca="false">ROUND(INDEX(Règles!$C$5:$C$9,MATCH($D184,Règles!$A$5:$A$9,0))*$M184*$J184*Règles!$C$12,0)</f>
        <v>52</v>
      </c>
      <c r="G184" s="4" t="n">
        <f aca="false">ROUND(INDEX(Règles!$C$5:$C$9,MATCH($D184,Règles!$A$5:$A$9,0))*$M184*$K184,0)</f>
        <v>7</v>
      </c>
      <c r="H184" s="4" t="n">
        <f aca="false">ROUND(INDEX(Règles!$C$5:$C$9,MATCH($D184,Règles!$A$5:$A$9,0))*$M184*$L184,0)</f>
        <v>19</v>
      </c>
      <c r="I184" s="28" t="n">
        <f aca="false">F184/Règles!$C$12+G184+H184</f>
        <v>36.4</v>
      </c>
      <c r="J184" s="29" t="n">
        <v>0.29</v>
      </c>
      <c r="K184" s="29" t="n">
        <v>0.191</v>
      </c>
      <c r="L184" s="29" t="n">
        <v>0.519</v>
      </c>
      <c r="M184" s="30" t="n">
        <v>0.972</v>
      </c>
    </row>
    <row r="185" customFormat="false" ht="15" hidden="false" customHeight="true" outlineLevel="0" collapsed="false">
      <c r="A185" s="3" t="n">
        <v>184</v>
      </c>
      <c r="B185" s="4" t="s">
        <v>115</v>
      </c>
      <c r="C185" s="4" t="s">
        <v>9</v>
      </c>
      <c r="D185" s="9" t="s">
        <v>108</v>
      </c>
      <c r="E185" s="4" t="s">
        <v>341</v>
      </c>
      <c r="F185" s="4" t="n">
        <f aca="false">ROUND(INDEX(Règles!$C$5:$C$9,MATCH($D185,Règles!$A$5:$A$9,0))*$M185*$J185*Règles!$C$12,0)</f>
        <v>105</v>
      </c>
      <c r="G185" s="4" t="n">
        <f aca="false">ROUND(INDEX(Règles!$C$5:$C$9,MATCH($D185,Règles!$A$5:$A$9,0))*$M185*$K185,0)</f>
        <v>9</v>
      </c>
      <c r="H185" s="4" t="n">
        <f aca="false">ROUND(INDEX(Règles!$C$5:$C$9,MATCH($D185,Règles!$A$5:$A$9,0))*$M185*$L185,0)</f>
        <v>8</v>
      </c>
      <c r="I185" s="28" t="n">
        <f aca="false">F185/Règles!$C$12+G185+H185</f>
        <v>38</v>
      </c>
      <c r="J185" s="29" t="n">
        <v>0.556</v>
      </c>
      <c r="K185" s="29" t="n">
        <v>0.244</v>
      </c>
      <c r="L185" s="29" t="n">
        <v>0.2</v>
      </c>
      <c r="M185" s="30" t="n">
        <v>1.017</v>
      </c>
    </row>
    <row r="186" customFormat="false" ht="15" hidden="false" customHeight="true" outlineLevel="0" collapsed="false">
      <c r="A186" s="3" t="n">
        <v>185</v>
      </c>
      <c r="B186" s="4" t="s">
        <v>196</v>
      </c>
      <c r="C186" s="4" t="s">
        <v>23</v>
      </c>
      <c r="D186" s="9" t="s">
        <v>108</v>
      </c>
      <c r="E186" s="4" t="s">
        <v>338</v>
      </c>
      <c r="F186" s="4" t="n">
        <f aca="false">ROUND(INDEX(Règles!$C$5:$C$9,MATCH($D186,Règles!$A$5:$A$9,0))*$M186*$J186*Règles!$C$12,0)</f>
        <v>68</v>
      </c>
      <c r="G186" s="4" t="n">
        <f aca="false">ROUND(INDEX(Règles!$C$5:$C$9,MATCH($D186,Règles!$A$5:$A$9,0))*$M186*$K186,0)</f>
        <v>11</v>
      </c>
      <c r="H186" s="4" t="n">
        <f aca="false">ROUND(INDEX(Règles!$C$5:$C$9,MATCH($D186,Règles!$A$5:$A$9,0))*$M186*$L186,0)</f>
        <v>12</v>
      </c>
      <c r="I186" s="28" t="n">
        <f aca="false">F186/Règles!$C$12+G186+H186</f>
        <v>36.6</v>
      </c>
      <c r="J186" s="29" t="n">
        <v>0.371</v>
      </c>
      <c r="K186" s="29" t="n">
        <v>0.308</v>
      </c>
      <c r="L186" s="29" t="n">
        <v>0.321</v>
      </c>
      <c r="M186" s="30" t="n">
        <v>0.986</v>
      </c>
    </row>
    <row r="187" customFormat="false" ht="15" hidden="false" customHeight="true" outlineLevel="0" collapsed="false">
      <c r="A187" s="3" t="n">
        <v>186</v>
      </c>
      <c r="B187" s="4" t="s">
        <v>182</v>
      </c>
      <c r="C187" s="4" t="s">
        <v>23</v>
      </c>
      <c r="D187" s="9" t="s">
        <v>108</v>
      </c>
      <c r="E187" s="4" t="s">
        <v>339</v>
      </c>
      <c r="F187" s="4" t="n">
        <f aca="false">ROUND(INDEX(Règles!$C$5:$C$9,MATCH($D187,Règles!$A$5:$A$9,0))*$M187*$J187*Règles!$C$12,0)</f>
        <v>47</v>
      </c>
      <c r="G187" s="4" t="n">
        <f aca="false">ROUND(INDEX(Règles!$C$5:$C$9,MATCH($D187,Règles!$A$5:$A$9,0))*$M187*$K187,0)</f>
        <v>18</v>
      </c>
      <c r="H187" s="4" t="n">
        <f aca="false">ROUND(INDEX(Règles!$C$5:$C$9,MATCH($D187,Règles!$A$5:$A$9,0))*$M187*$L187,0)</f>
        <v>9</v>
      </c>
      <c r="I187" s="28" t="n">
        <f aca="false">F187/Règles!$C$12+G187+H187</f>
        <v>36.4</v>
      </c>
      <c r="J187" s="29" t="n">
        <v>0.26</v>
      </c>
      <c r="K187" s="29" t="n">
        <v>0.493</v>
      </c>
      <c r="L187" s="29" t="n">
        <v>0.247</v>
      </c>
      <c r="M187" s="30" t="n">
        <v>0.987</v>
      </c>
    </row>
    <row r="188" customFormat="false" ht="15" hidden="false" customHeight="true" outlineLevel="0" collapsed="false">
      <c r="A188" s="3" t="n">
        <v>187</v>
      </c>
      <c r="B188" s="4" t="s">
        <v>162</v>
      </c>
      <c r="C188" s="4" t="s">
        <v>9</v>
      </c>
      <c r="D188" s="9" t="s">
        <v>108</v>
      </c>
      <c r="E188" s="4" t="s">
        <v>340</v>
      </c>
      <c r="F188" s="4" t="n">
        <f aca="false">ROUND(INDEX(Règles!$C$5:$C$9,MATCH($D188,Règles!$A$5:$A$9,0))*$M188*$J188*Règles!$C$12,0)</f>
        <v>49</v>
      </c>
      <c r="G188" s="4" t="n">
        <f aca="false">ROUND(INDEX(Règles!$C$5:$C$9,MATCH($D188,Règles!$A$5:$A$9,0))*$M188*$K188,0)</f>
        <v>8</v>
      </c>
      <c r="H188" s="4" t="n">
        <f aca="false">ROUND(INDEX(Règles!$C$5:$C$9,MATCH($D188,Règles!$A$5:$A$9,0))*$M188*$L188,0)</f>
        <v>18</v>
      </c>
      <c r="I188" s="28" t="n">
        <f aca="false">F188/Règles!$C$12+G188+H188</f>
        <v>35.8</v>
      </c>
      <c r="J188" s="29" t="n">
        <v>0.27</v>
      </c>
      <c r="K188" s="29" t="n">
        <v>0.22</v>
      </c>
      <c r="L188" s="29" t="n">
        <v>0.51</v>
      </c>
      <c r="M188" s="30" t="n">
        <v>0.973</v>
      </c>
    </row>
    <row r="189" customFormat="false" ht="15" hidden="false" customHeight="true" outlineLevel="0" collapsed="false">
      <c r="A189" s="3" t="n">
        <v>188</v>
      </c>
      <c r="B189" s="4" t="s">
        <v>112</v>
      </c>
      <c r="C189" s="4" t="s">
        <v>9</v>
      </c>
      <c r="D189" s="9" t="s">
        <v>108</v>
      </c>
      <c r="E189" s="4" t="s">
        <v>341</v>
      </c>
      <c r="F189" s="4" t="n">
        <f aca="false">ROUND(INDEX(Règles!$C$5:$C$9,MATCH($D189,Règles!$A$5:$A$9,0))*$M189*$J189*Règles!$C$12,0)</f>
        <v>99</v>
      </c>
      <c r="G189" s="4" t="n">
        <f aca="false">ROUND(INDEX(Règles!$C$5:$C$9,MATCH($D189,Règles!$A$5:$A$9,0))*$M189*$K189,0)</f>
        <v>10</v>
      </c>
      <c r="H189" s="4" t="n">
        <f aca="false">ROUND(INDEX(Règles!$C$5:$C$9,MATCH($D189,Règles!$A$5:$A$9,0))*$M189*$L189,0)</f>
        <v>7</v>
      </c>
      <c r="I189" s="28" t="n">
        <f aca="false">F189/Règles!$C$12+G189+H189</f>
        <v>36.8</v>
      </c>
      <c r="J189" s="29" t="n">
        <v>0.543</v>
      </c>
      <c r="K189" s="29" t="n">
        <v>0.275</v>
      </c>
      <c r="L189" s="29" t="n">
        <v>0.182</v>
      </c>
      <c r="M189" s="30" t="n">
        <v>0.982</v>
      </c>
    </row>
    <row r="190" customFormat="false" ht="15" hidden="false" customHeight="true" outlineLevel="0" collapsed="false">
      <c r="A190" s="3" t="n">
        <v>189</v>
      </c>
      <c r="B190" s="4" t="s">
        <v>113</v>
      </c>
      <c r="C190" s="4" t="s">
        <v>9</v>
      </c>
      <c r="D190" s="9" t="s">
        <v>108</v>
      </c>
      <c r="E190" s="4" t="s">
        <v>338</v>
      </c>
      <c r="F190" s="4" t="n">
        <f aca="false">ROUND(INDEX(Règles!$C$5:$C$9,MATCH($D190,Règles!$A$5:$A$9,0))*$M190*$J190*Règles!$C$12,0)</f>
        <v>62</v>
      </c>
      <c r="G190" s="4" t="n">
        <f aca="false">ROUND(INDEX(Règles!$C$5:$C$9,MATCH($D190,Règles!$A$5:$A$9,0))*$M190*$K190,0)</f>
        <v>13</v>
      </c>
      <c r="H190" s="4" t="n">
        <f aca="false">ROUND(INDEX(Règles!$C$5:$C$9,MATCH($D190,Règles!$A$5:$A$9,0))*$M190*$L190,0)</f>
        <v>12</v>
      </c>
      <c r="I190" s="28" t="n">
        <f aca="false">F190/Règles!$C$12+G190+H190</f>
        <v>37.4</v>
      </c>
      <c r="J190" s="29" t="n">
        <v>0.337</v>
      </c>
      <c r="K190" s="29" t="n">
        <v>0.348</v>
      </c>
      <c r="L190" s="29" t="n">
        <v>0.315</v>
      </c>
      <c r="M190" s="30" t="n">
        <v>0.989</v>
      </c>
    </row>
    <row r="191" customFormat="false" ht="15" hidden="false" customHeight="true" outlineLevel="0" collapsed="false">
      <c r="A191" s="3" t="n">
        <v>190</v>
      </c>
      <c r="B191" s="4" t="s">
        <v>167</v>
      </c>
      <c r="C191" s="4" t="s">
        <v>9</v>
      </c>
      <c r="D191" s="9" t="s">
        <v>108</v>
      </c>
      <c r="E191" s="4" t="s">
        <v>339</v>
      </c>
      <c r="F191" s="4" t="n">
        <f aca="false">ROUND(INDEX(Règles!$C$5:$C$9,MATCH($D191,Règles!$A$5:$A$9,0))*$M191*$J191*Règles!$C$12,0)</f>
        <v>42</v>
      </c>
      <c r="G191" s="4" t="n">
        <f aca="false">ROUND(INDEX(Règles!$C$5:$C$9,MATCH($D191,Règles!$A$5:$A$9,0))*$M191*$K191,0)</f>
        <v>20</v>
      </c>
      <c r="H191" s="4" t="n">
        <f aca="false">ROUND(INDEX(Règles!$C$5:$C$9,MATCH($D191,Règles!$A$5:$A$9,0))*$M191*$L191,0)</f>
        <v>9</v>
      </c>
      <c r="I191" s="28" t="n">
        <f aca="false">F191/Règles!$C$12+G191+H191</f>
        <v>37.4</v>
      </c>
      <c r="J191" s="29" t="n">
        <v>0.229</v>
      </c>
      <c r="K191" s="29" t="n">
        <v>0.538</v>
      </c>
      <c r="L191" s="29" t="n">
        <v>0.233</v>
      </c>
      <c r="M191" s="30" t="n">
        <v>1</v>
      </c>
    </row>
    <row r="192" customFormat="false" ht="15" hidden="false" customHeight="true" outlineLevel="0" collapsed="false">
      <c r="A192" s="3" t="n">
        <v>191</v>
      </c>
      <c r="B192" s="4" t="s">
        <v>197</v>
      </c>
      <c r="C192" s="4" t="s">
        <v>23</v>
      </c>
      <c r="D192" s="9" t="s">
        <v>108</v>
      </c>
      <c r="E192" s="4" t="s">
        <v>340</v>
      </c>
      <c r="F192" s="4" t="n">
        <f aca="false">ROUND(INDEX(Règles!$C$5:$C$9,MATCH($D192,Règles!$A$5:$A$9,0))*$M192*$J192*Règles!$C$12,0)</f>
        <v>57</v>
      </c>
      <c r="G192" s="4" t="n">
        <f aca="false">ROUND(INDEX(Règles!$C$5:$C$9,MATCH($D192,Règles!$A$5:$A$9,0))*$M192*$K192,0)</f>
        <v>7</v>
      </c>
      <c r="H192" s="4" t="n">
        <f aca="false">ROUND(INDEX(Règles!$C$5:$C$9,MATCH($D192,Règles!$A$5:$A$9,0))*$M192*$L192,0)</f>
        <v>19</v>
      </c>
      <c r="I192" s="28" t="n">
        <f aca="false">F192/Règles!$C$12+G192+H192</f>
        <v>37.4</v>
      </c>
      <c r="J192" s="29" t="n">
        <v>0.306</v>
      </c>
      <c r="K192" s="29" t="n">
        <v>0.197</v>
      </c>
      <c r="L192" s="29" t="n">
        <v>0.497</v>
      </c>
      <c r="M192" s="30" t="n">
        <v>1.015</v>
      </c>
    </row>
    <row r="193" customFormat="false" ht="15" hidden="false" customHeight="true" outlineLevel="0" collapsed="false">
      <c r="A193" s="3" t="n">
        <v>192</v>
      </c>
      <c r="B193" s="4" t="s">
        <v>188</v>
      </c>
      <c r="C193" s="4" t="s">
        <v>23</v>
      </c>
      <c r="D193" s="9" t="s">
        <v>108</v>
      </c>
      <c r="E193" s="4" t="s">
        <v>341</v>
      </c>
      <c r="F193" s="4" t="n">
        <f aca="false">ROUND(INDEX(Règles!$C$5:$C$9,MATCH($D193,Règles!$A$5:$A$9,0))*$M193*$J193*Règles!$C$12,0)</f>
        <v>101</v>
      </c>
      <c r="G193" s="4" t="n">
        <f aca="false">ROUND(INDEX(Règles!$C$5:$C$9,MATCH($D193,Règles!$A$5:$A$9,0))*$M193*$K193,0)</f>
        <v>9</v>
      </c>
      <c r="H193" s="4" t="n">
        <f aca="false">ROUND(INDEX(Règles!$C$5:$C$9,MATCH($D193,Règles!$A$5:$A$9,0))*$M193*$L193,0)</f>
        <v>8</v>
      </c>
      <c r="I193" s="28" t="n">
        <f aca="false">F193/Règles!$C$12+G193+H193</f>
        <v>37.2</v>
      </c>
      <c r="J193" s="29" t="n">
        <v>0.541</v>
      </c>
      <c r="K193" s="29" t="n">
        <v>0.245</v>
      </c>
      <c r="L193" s="29" t="n">
        <v>0.214</v>
      </c>
      <c r="M193" s="30" t="n">
        <v>1.013</v>
      </c>
    </row>
    <row r="194" customFormat="false" ht="15" hidden="false" customHeight="true" outlineLevel="0" collapsed="false">
      <c r="A194" s="3" t="n">
        <v>193</v>
      </c>
      <c r="B194" s="4" t="s">
        <v>147</v>
      </c>
      <c r="C194" s="4" t="s">
        <v>9</v>
      </c>
      <c r="D194" s="9" t="s">
        <v>108</v>
      </c>
      <c r="E194" s="4" t="s">
        <v>338</v>
      </c>
      <c r="F194" s="4" t="n">
        <f aca="false">ROUND(INDEX(Règles!$C$5:$C$9,MATCH($D194,Règles!$A$5:$A$9,0))*$M194*$J194*Règles!$C$12,0)</f>
        <v>67</v>
      </c>
      <c r="G194" s="4" t="n">
        <f aca="false">ROUND(INDEX(Règles!$C$5:$C$9,MATCH($D194,Règles!$A$5:$A$9,0))*$M194*$K194,0)</f>
        <v>12</v>
      </c>
      <c r="H194" s="4" t="n">
        <f aca="false">ROUND(INDEX(Règles!$C$5:$C$9,MATCH($D194,Règles!$A$5:$A$9,0))*$M194*$L194,0)</f>
        <v>12</v>
      </c>
      <c r="I194" s="28" t="n">
        <f aca="false">F194/Règles!$C$12+G194+H194</f>
        <v>37.4</v>
      </c>
      <c r="J194" s="29" t="n">
        <v>0.359</v>
      </c>
      <c r="K194" s="29" t="n">
        <v>0.322</v>
      </c>
      <c r="L194" s="29" t="n">
        <v>0.319</v>
      </c>
      <c r="M194" s="30" t="n">
        <v>1.008</v>
      </c>
    </row>
    <row r="195" customFormat="false" ht="15" hidden="false" customHeight="true" outlineLevel="0" collapsed="false">
      <c r="A195" s="3" t="n">
        <v>194</v>
      </c>
      <c r="B195" s="4" t="s">
        <v>159</v>
      </c>
      <c r="C195" s="4" t="s">
        <v>9</v>
      </c>
      <c r="D195" s="9" t="s">
        <v>108</v>
      </c>
      <c r="E195" s="4" t="s">
        <v>339</v>
      </c>
      <c r="F195" s="4" t="n">
        <f aca="false">ROUND(INDEX(Règles!$C$5:$C$9,MATCH($D195,Règles!$A$5:$A$9,0))*$M195*$J195*Règles!$C$12,0)</f>
        <v>44</v>
      </c>
      <c r="G195" s="4" t="n">
        <f aca="false">ROUND(INDEX(Règles!$C$5:$C$9,MATCH($D195,Règles!$A$5:$A$9,0))*$M195*$K195,0)</f>
        <v>18</v>
      </c>
      <c r="H195" s="4" t="n">
        <f aca="false">ROUND(INDEX(Règles!$C$5:$C$9,MATCH($D195,Règles!$A$5:$A$9,0))*$M195*$L195,0)</f>
        <v>9</v>
      </c>
      <c r="I195" s="28" t="n">
        <f aca="false">F195/Règles!$C$12+G195+H195</f>
        <v>35.8</v>
      </c>
      <c r="J195" s="29" t="n">
        <v>0.244</v>
      </c>
      <c r="K195" s="29" t="n">
        <v>0.499</v>
      </c>
      <c r="L195" s="29" t="n">
        <v>0.257</v>
      </c>
      <c r="M195" s="30" t="n">
        <v>0.985</v>
      </c>
    </row>
    <row r="196" customFormat="false" ht="15" hidden="false" customHeight="true" outlineLevel="0" collapsed="false">
      <c r="A196" s="3" t="n">
        <v>195</v>
      </c>
      <c r="B196" s="4" t="s">
        <v>153</v>
      </c>
      <c r="C196" s="4" t="s">
        <v>9</v>
      </c>
      <c r="D196" s="9" t="s">
        <v>108</v>
      </c>
      <c r="E196" s="4" t="s">
        <v>340</v>
      </c>
      <c r="F196" s="4" t="n">
        <f aca="false">ROUND(INDEX(Règles!$C$5:$C$9,MATCH($D196,Règles!$A$5:$A$9,0))*$M196*$J196*Règles!$C$12,0)</f>
        <v>59</v>
      </c>
      <c r="G196" s="4" t="n">
        <f aca="false">ROUND(INDEX(Règles!$C$5:$C$9,MATCH($D196,Règles!$A$5:$A$9,0))*$M196*$K196,0)</f>
        <v>7</v>
      </c>
      <c r="H196" s="4" t="n">
        <f aca="false">ROUND(INDEX(Règles!$C$5:$C$9,MATCH($D196,Règles!$A$5:$A$9,0))*$M196*$L196,0)</f>
        <v>19</v>
      </c>
      <c r="I196" s="28" t="n">
        <f aca="false">F196/Règles!$C$12+G196+H196</f>
        <v>37.8</v>
      </c>
      <c r="J196" s="29" t="n">
        <v>0.31</v>
      </c>
      <c r="K196" s="29" t="n">
        <v>0.192</v>
      </c>
      <c r="L196" s="29" t="n">
        <v>0.498</v>
      </c>
      <c r="M196" s="30" t="n">
        <v>1.022</v>
      </c>
    </row>
    <row r="197" customFormat="false" ht="15" hidden="false" customHeight="true" outlineLevel="0" collapsed="false">
      <c r="A197" s="3" t="n">
        <v>196</v>
      </c>
      <c r="B197" s="4" t="s">
        <v>169</v>
      </c>
      <c r="C197" s="4" t="s">
        <v>23</v>
      </c>
      <c r="D197" s="9" t="s">
        <v>108</v>
      </c>
      <c r="E197" s="4" t="s">
        <v>341</v>
      </c>
      <c r="F197" s="4" t="n">
        <f aca="false">ROUND(INDEX(Règles!$C$5:$C$9,MATCH($D197,Règles!$A$5:$A$9,0))*$M197*$J197*Règles!$C$12,0)</f>
        <v>94</v>
      </c>
      <c r="G197" s="4" t="n">
        <f aca="false">ROUND(INDEX(Règles!$C$5:$C$9,MATCH($D197,Règles!$A$5:$A$9,0))*$M197*$K197,0)</f>
        <v>9</v>
      </c>
      <c r="H197" s="4" t="n">
        <f aca="false">ROUND(INDEX(Règles!$C$5:$C$9,MATCH($D197,Règles!$A$5:$A$9,0))*$M197*$L197,0)</f>
        <v>8</v>
      </c>
      <c r="I197" s="28" t="n">
        <f aca="false">F197/Règles!$C$12+G197+H197</f>
        <v>35.8</v>
      </c>
      <c r="J197" s="29" t="n">
        <v>0.525</v>
      </c>
      <c r="K197" s="29" t="n">
        <v>0.259</v>
      </c>
      <c r="L197" s="29" t="n">
        <v>0.216</v>
      </c>
      <c r="M197" s="30" t="n">
        <v>0.971</v>
      </c>
    </row>
    <row r="198" customFormat="false" ht="15" hidden="false" customHeight="true" outlineLevel="0" collapsed="false">
      <c r="A198" s="3" t="n">
        <v>197</v>
      </c>
      <c r="B198" s="4" t="s">
        <v>134</v>
      </c>
      <c r="C198" s="4" t="s">
        <v>9</v>
      </c>
      <c r="D198" s="9" t="s">
        <v>108</v>
      </c>
      <c r="E198" s="4" t="s">
        <v>338</v>
      </c>
      <c r="F198" s="4" t="n">
        <f aca="false">ROUND(INDEX(Règles!$C$5:$C$9,MATCH($D198,Règles!$A$5:$A$9,0))*$M198*$J198*Règles!$C$12,0)</f>
        <v>60</v>
      </c>
      <c r="G198" s="4" t="n">
        <f aca="false">ROUND(INDEX(Règles!$C$5:$C$9,MATCH($D198,Règles!$A$5:$A$9,0))*$M198*$K198,0)</f>
        <v>12</v>
      </c>
      <c r="H198" s="4" t="n">
        <f aca="false">ROUND(INDEX(Règles!$C$5:$C$9,MATCH($D198,Règles!$A$5:$A$9,0))*$M198*$L198,0)</f>
        <v>12</v>
      </c>
      <c r="I198" s="28" t="n">
        <f aca="false">F198/Règles!$C$12+G198+H198</f>
        <v>36</v>
      </c>
      <c r="J198" s="29" t="n">
        <v>0.332</v>
      </c>
      <c r="K198" s="29" t="n">
        <v>0.335</v>
      </c>
      <c r="L198" s="29" t="n">
        <v>0.333</v>
      </c>
      <c r="M198" s="30" t="n">
        <v>0.972</v>
      </c>
    </row>
    <row r="199" customFormat="false" ht="15" hidden="false" customHeight="true" outlineLevel="0" collapsed="false">
      <c r="A199" s="3" t="n">
        <v>198</v>
      </c>
      <c r="B199" s="4" t="s">
        <v>160</v>
      </c>
      <c r="C199" s="4" t="s">
        <v>9</v>
      </c>
      <c r="D199" s="9" t="s">
        <v>108</v>
      </c>
      <c r="E199" s="4" t="s">
        <v>339</v>
      </c>
      <c r="F199" s="4" t="n">
        <f aca="false">ROUND(INDEX(Règles!$C$5:$C$9,MATCH($D199,Règles!$A$5:$A$9,0))*$M199*$J199*Règles!$C$12,0)</f>
        <v>44</v>
      </c>
      <c r="G199" s="4" t="n">
        <f aca="false">ROUND(INDEX(Règles!$C$5:$C$9,MATCH($D199,Règles!$A$5:$A$9,0))*$M199*$K199,0)</f>
        <v>19</v>
      </c>
      <c r="H199" s="4" t="n">
        <f aca="false">ROUND(INDEX(Règles!$C$5:$C$9,MATCH($D199,Règles!$A$5:$A$9,0))*$M199*$L199,0)</f>
        <v>9</v>
      </c>
      <c r="I199" s="28" t="n">
        <f aca="false">F199/Règles!$C$12+G199+H199</f>
        <v>36.8</v>
      </c>
      <c r="J199" s="29" t="n">
        <v>0.233</v>
      </c>
      <c r="K199" s="29" t="n">
        <v>0.519</v>
      </c>
      <c r="L199" s="29" t="n">
        <v>0.248</v>
      </c>
      <c r="M199" s="30" t="n">
        <v>1.013</v>
      </c>
    </row>
    <row r="200" customFormat="false" ht="15" hidden="false" customHeight="true" outlineLevel="0" collapsed="false">
      <c r="A200" s="3" t="n">
        <v>199</v>
      </c>
      <c r="B200" s="4" t="s">
        <v>142</v>
      </c>
      <c r="C200" s="4" t="s">
        <v>9</v>
      </c>
      <c r="D200" s="9" t="s">
        <v>108</v>
      </c>
      <c r="E200" s="4" t="s">
        <v>340</v>
      </c>
      <c r="F200" s="4" t="n">
        <f aca="false">ROUND(INDEX(Règles!$C$5:$C$9,MATCH($D200,Règles!$A$5:$A$9,0))*$M200*$J200*Règles!$C$12,0)</f>
        <v>57</v>
      </c>
      <c r="G200" s="4" t="n">
        <f aca="false">ROUND(INDEX(Règles!$C$5:$C$9,MATCH($D200,Règles!$A$5:$A$9,0))*$M200*$K200,0)</f>
        <v>7</v>
      </c>
      <c r="H200" s="4" t="n">
        <f aca="false">ROUND(INDEX(Règles!$C$5:$C$9,MATCH($D200,Règles!$A$5:$A$9,0))*$M200*$L200,0)</f>
        <v>18</v>
      </c>
      <c r="I200" s="28" t="n">
        <f aca="false">F200/Règles!$C$12+G200+H200</f>
        <v>36.4</v>
      </c>
      <c r="J200" s="29" t="n">
        <v>0.316</v>
      </c>
      <c r="K200" s="29" t="n">
        <v>0.196</v>
      </c>
      <c r="L200" s="29" t="n">
        <v>0.488</v>
      </c>
      <c r="M200" s="30" t="n">
        <v>0.977</v>
      </c>
    </row>
    <row r="201" customFormat="false" ht="15" hidden="false" customHeight="true" outlineLevel="0" collapsed="false">
      <c r="A201" s="3" t="n">
        <v>200</v>
      </c>
      <c r="B201" s="4" t="s">
        <v>140</v>
      </c>
      <c r="C201" s="4" t="s">
        <v>9</v>
      </c>
      <c r="D201" s="9" t="s">
        <v>108</v>
      </c>
      <c r="E201" s="4" t="s">
        <v>341</v>
      </c>
      <c r="F201" s="4" t="n">
        <f aca="false">ROUND(INDEX(Règles!$C$5:$C$9,MATCH($D201,Règles!$A$5:$A$9,0))*$M201*$J201*Règles!$C$12,0)</f>
        <v>100</v>
      </c>
      <c r="G201" s="4" t="n">
        <f aca="false">ROUND(INDEX(Règles!$C$5:$C$9,MATCH($D201,Règles!$A$5:$A$9,0))*$M201*$K201,0)</f>
        <v>9</v>
      </c>
      <c r="H201" s="4" t="n">
        <f aca="false">ROUND(INDEX(Règles!$C$5:$C$9,MATCH($D201,Règles!$A$5:$A$9,0))*$M201*$L201,0)</f>
        <v>7</v>
      </c>
      <c r="I201" s="28" t="n">
        <f aca="false">F201/Règles!$C$12+G201+H201</f>
        <v>36</v>
      </c>
      <c r="J201" s="29" t="n">
        <v>0.55</v>
      </c>
      <c r="K201" s="29" t="n">
        <v>0.261</v>
      </c>
      <c r="L201" s="29" t="n">
        <v>0.189</v>
      </c>
      <c r="M201" s="30" t="n">
        <v>0.983</v>
      </c>
    </row>
    <row r="202" customFormat="false" ht="15" hidden="false" customHeight="true" outlineLevel="0" collapsed="false">
      <c r="A202" s="3" t="n">
        <v>201</v>
      </c>
      <c r="B202" s="4" t="s">
        <v>174</v>
      </c>
      <c r="C202" s="4" t="s">
        <v>23</v>
      </c>
      <c r="D202" s="9" t="s">
        <v>108</v>
      </c>
      <c r="E202" s="4" t="s">
        <v>338</v>
      </c>
      <c r="F202" s="4" t="n">
        <f aca="false">ROUND(INDEX(Règles!$C$5:$C$9,MATCH($D202,Règles!$A$5:$A$9,0))*$M202*$J202*Règles!$C$12,0)</f>
        <v>72</v>
      </c>
      <c r="G202" s="4" t="n">
        <f aca="false">ROUND(INDEX(Règles!$C$5:$C$9,MATCH($D202,Règles!$A$5:$A$9,0))*$M202*$K202,0)</f>
        <v>12</v>
      </c>
      <c r="H202" s="4" t="n">
        <f aca="false">ROUND(INDEX(Règles!$C$5:$C$9,MATCH($D202,Règles!$A$5:$A$9,0))*$M202*$L202,0)</f>
        <v>12</v>
      </c>
      <c r="I202" s="28" t="n">
        <f aca="false">F202/Règles!$C$12+G202+H202</f>
        <v>38.4</v>
      </c>
      <c r="J202" s="29" t="n">
        <v>0.379</v>
      </c>
      <c r="K202" s="29" t="n">
        <v>0.31</v>
      </c>
      <c r="L202" s="29" t="n">
        <v>0.311</v>
      </c>
      <c r="M202" s="30" t="n">
        <v>1.028</v>
      </c>
    </row>
    <row r="203" customFormat="false" ht="15" hidden="false" customHeight="true" outlineLevel="0" collapsed="false">
      <c r="A203" s="3" t="n">
        <v>202</v>
      </c>
      <c r="B203" s="4" t="s">
        <v>183</v>
      </c>
      <c r="C203" s="4" t="s">
        <v>23</v>
      </c>
      <c r="D203" s="9" t="s">
        <v>108</v>
      </c>
      <c r="E203" s="4" t="s">
        <v>339</v>
      </c>
      <c r="F203" s="4" t="n">
        <f aca="false">ROUND(INDEX(Règles!$C$5:$C$9,MATCH($D203,Règles!$A$5:$A$9,0))*$M203*$J203*Règles!$C$12,0)</f>
        <v>47</v>
      </c>
      <c r="G203" s="4" t="n">
        <f aca="false">ROUND(INDEX(Règles!$C$5:$C$9,MATCH($D203,Règles!$A$5:$A$9,0))*$M203*$K203,0)</f>
        <v>18</v>
      </c>
      <c r="H203" s="4" t="n">
        <f aca="false">ROUND(INDEX(Règles!$C$5:$C$9,MATCH($D203,Règles!$A$5:$A$9,0))*$M203*$L203,0)</f>
        <v>10</v>
      </c>
      <c r="I203" s="28" t="n">
        <f aca="false">F203/Règles!$C$12+G203+H203</f>
        <v>37.4</v>
      </c>
      <c r="J203" s="29" t="n">
        <v>0.248</v>
      </c>
      <c r="K203" s="29" t="n">
        <v>0.479</v>
      </c>
      <c r="L203" s="29" t="n">
        <v>0.273</v>
      </c>
      <c r="M203" s="30" t="n">
        <v>1.027</v>
      </c>
    </row>
    <row r="204" customFormat="false" ht="15" hidden="false" customHeight="true" outlineLevel="0" collapsed="false">
      <c r="A204" s="3" t="n">
        <v>203</v>
      </c>
      <c r="B204" s="4" t="s">
        <v>155</v>
      </c>
      <c r="C204" s="4" t="s">
        <v>9</v>
      </c>
      <c r="D204" s="9" t="s">
        <v>108</v>
      </c>
      <c r="E204" s="4" t="s">
        <v>340</v>
      </c>
      <c r="F204" s="4" t="n">
        <f aca="false">ROUND(INDEX(Règles!$C$5:$C$9,MATCH($D204,Règles!$A$5:$A$9,0))*$M204*$J204*Règles!$C$12,0)</f>
        <v>52</v>
      </c>
      <c r="G204" s="4" t="n">
        <f aca="false">ROUND(INDEX(Règles!$C$5:$C$9,MATCH($D204,Règles!$A$5:$A$9,0))*$M204*$K204,0)</f>
        <v>7</v>
      </c>
      <c r="H204" s="4" t="n">
        <f aca="false">ROUND(INDEX(Règles!$C$5:$C$9,MATCH($D204,Règles!$A$5:$A$9,0))*$M204*$L204,0)</f>
        <v>19</v>
      </c>
      <c r="I204" s="28" t="n">
        <f aca="false">F204/Règles!$C$12+G204+H204</f>
        <v>36.4</v>
      </c>
      <c r="J204" s="29" t="n">
        <v>0.288</v>
      </c>
      <c r="K204" s="29" t="n">
        <v>0.188</v>
      </c>
      <c r="L204" s="29" t="n">
        <v>0.524</v>
      </c>
      <c r="M204" s="30" t="n">
        <v>0.981</v>
      </c>
    </row>
    <row r="205" customFormat="false" ht="15" hidden="false" customHeight="true" outlineLevel="0" collapsed="false">
      <c r="A205" s="3" t="n">
        <v>204</v>
      </c>
      <c r="B205" s="4" t="s">
        <v>178</v>
      </c>
      <c r="C205" s="4" t="s">
        <v>23</v>
      </c>
      <c r="D205" s="9" t="s">
        <v>108</v>
      </c>
      <c r="E205" s="4" t="s">
        <v>341</v>
      </c>
      <c r="F205" s="4" t="n">
        <f aca="false">ROUND(INDEX(Règles!$C$5:$C$9,MATCH($D205,Règles!$A$5:$A$9,0))*$M205*$J205*Règles!$C$12,0)</f>
        <v>103</v>
      </c>
      <c r="G205" s="4" t="n">
        <f aca="false">ROUND(INDEX(Règles!$C$5:$C$9,MATCH($D205,Règles!$A$5:$A$9,0))*$M205*$K205,0)</f>
        <v>9</v>
      </c>
      <c r="H205" s="4" t="n">
        <f aca="false">ROUND(INDEX(Règles!$C$5:$C$9,MATCH($D205,Règles!$A$5:$A$9,0))*$M205*$L205,0)</f>
        <v>8</v>
      </c>
      <c r="I205" s="28" t="n">
        <f aca="false">F205/Règles!$C$12+G205+H205</f>
        <v>37.6</v>
      </c>
      <c r="J205" s="29" t="n">
        <v>0.553</v>
      </c>
      <c r="K205" s="29" t="n">
        <v>0.232</v>
      </c>
      <c r="L205" s="29" t="n">
        <v>0.215</v>
      </c>
      <c r="M205" s="30" t="n">
        <v>1.003</v>
      </c>
    </row>
    <row r="206" customFormat="false" ht="15" hidden="false" customHeight="true" outlineLevel="0" collapsed="false">
      <c r="A206" s="3" t="n">
        <v>205</v>
      </c>
      <c r="B206" s="4" t="s">
        <v>173</v>
      </c>
      <c r="C206" s="4" t="s">
        <v>23</v>
      </c>
      <c r="D206" s="9" t="s">
        <v>108</v>
      </c>
      <c r="E206" s="4" t="s">
        <v>338</v>
      </c>
      <c r="F206" s="4" t="n">
        <f aca="false">ROUND(INDEX(Règles!$C$5:$C$9,MATCH($D206,Règles!$A$5:$A$9,0))*$M206*$J206*Règles!$C$12,0)</f>
        <v>61</v>
      </c>
      <c r="G206" s="4" t="n">
        <f aca="false">ROUND(INDEX(Règles!$C$5:$C$9,MATCH($D206,Règles!$A$5:$A$9,0))*$M206*$K206,0)</f>
        <v>12</v>
      </c>
      <c r="H206" s="4" t="n">
        <f aca="false">ROUND(INDEX(Règles!$C$5:$C$9,MATCH($D206,Règles!$A$5:$A$9,0))*$M206*$L206,0)</f>
        <v>13</v>
      </c>
      <c r="I206" s="28" t="n">
        <f aca="false">F206/Règles!$C$12+G206+H206</f>
        <v>37.2</v>
      </c>
      <c r="J206" s="29" t="n">
        <v>0.323</v>
      </c>
      <c r="K206" s="29" t="n">
        <v>0.325</v>
      </c>
      <c r="L206" s="29" t="n">
        <v>0.352</v>
      </c>
      <c r="M206" s="30" t="n">
        <v>1.022</v>
      </c>
    </row>
    <row r="207" customFormat="false" ht="15" hidden="false" customHeight="true" outlineLevel="0" collapsed="false">
      <c r="A207" s="3" t="n">
        <v>206</v>
      </c>
      <c r="B207" s="4" t="s">
        <v>148</v>
      </c>
      <c r="C207" s="4" t="s">
        <v>9</v>
      </c>
      <c r="D207" s="9" t="s">
        <v>108</v>
      </c>
      <c r="E207" s="4" t="s">
        <v>339</v>
      </c>
      <c r="F207" s="4" t="n">
        <f aca="false">ROUND(INDEX(Règles!$C$5:$C$9,MATCH($D207,Règles!$A$5:$A$9,0))*$M207*$J207*Règles!$C$12,0)</f>
        <v>47</v>
      </c>
      <c r="G207" s="4" t="n">
        <f aca="false">ROUND(INDEX(Règles!$C$5:$C$9,MATCH($D207,Règles!$A$5:$A$9,0))*$M207*$K207,0)</f>
        <v>19</v>
      </c>
      <c r="H207" s="4" t="n">
        <f aca="false">ROUND(INDEX(Règles!$C$5:$C$9,MATCH($D207,Règles!$A$5:$A$9,0))*$M207*$L207,0)</f>
        <v>9</v>
      </c>
      <c r="I207" s="28" t="n">
        <f aca="false">F207/Règles!$C$12+G207+H207</f>
        <v>37.4</v>
      </c>
      <c r="J207" s="29" t="n">
        <v>0.25</v>
      </c>
      <c r="K207" s="29" t="n">
        <v>0.502</v>
      </c>
      <c r="L207" s="29" t="n">
        <v>0.248</v>
      </c>
      <c r="M207" s="30" t="n">
        <v>1.012</v>
      </c>
    </row>
    <row r="208" customFormat="false" ht="15" hidden="false" customHeight="true" outlineLevel="0" collapsed="false">
      <c r="A208" s="3" t="n">
        <v>207</v>
      </c>
      <c r="B208" s="4" t="s">
        <v>114</v>
      </c>
      <c r="C208" s="4" t="s">
        <v>9</v>
      </c>
      <c r="D208" s="9" t="s">
        <v>108</v>
      </c>
      <c r="E208" s="4" t="s">
        <v>340</v>
      </c>
      <c r="F208" s="4" t="n">
        <f aca="false">ROUND(INDEX(Règles!$C$5:$C$9,MATCH($D208,Règles!$A$5:$A$9,0))*$M208*$J208*Règles!$C$12,0)</f>
        <v>52</v>
      </c>
      <c r="G208" s="4" t="n">
        <f aca="false">ROUND(INDEX(Règles!$C$5:$C$9,MATCH($D208,Règles!$A$5:$A$9,0))*$M208*$K208,0)</f>
        <v>8</v>
      </c>
      <c r="H208" s="4" t="n">
        <f aca="false">ROUND(INDEX(Règles!$C$5:$C$9,MATCH($D208,Règles!$A$5:$A$9,0))*$M208*$L208,0)</f>
        <v>18</v>
      </c>
      <c r="I208" s="28" t="n">
        <f aca="false">F208/Règles!$C$12+G208+H208</f>
        <v>36.4</v>
      </c>
      <c r="J208" s="29" t="n">
        <v>0.287</v>
      </c>
      <c r="K208" s="29" t="n">
        <v>0.207</v>
      </c>
      <c r="L208" s="29" t="n">
        <v>0.506</v>
      </c>
      <c r="M208" s="30" t="n">
        <v>0.984</v>
      </c>
    </row>
    <row r="209" customFormat="false" ht="15" hidden="false" customHeight="true" outlineLevel="0" collapsed="false">
      <c r="A209" s="3" t="n">
        <v>208</v>
      </c>
      <c r="B209" s="4" t="s">
        <v>120</v>
      </c>
      <c r="C209" s="4" t="s">
        <v>9</v>
      </c>
      <c r="D209" s="9" t="s">
        <v>108</v>
      </c>
      <c r="E209" s="4" t="s">
        <v>341</v>
      </c>
      <c r="F209" s="4" t="n">
        <f aca="false">ROUND(INDEX(Règles!$C$5:$C$9,MATCH($D209,Règles!$A$5:$A$9,0))*$M209*$J209*Règles!$C$12,0)</f>
        <v>101</v>
      </c>
      <c r="G209" s="4" t="n">
        <f aca="false">ROUND(INDEX(Règles!$C$5:$C$9,MATCH($D209,Règles!$A$5:$A$9,0))*$M209*$K209,0)</f>
        <v>9</v>
      </c>
      <c r="H209" s="4" t="n">
        <f aca="false">ROUND(INDEX(Règles!$C$5:$C$9,MATCH($D209,Règles!$A$5:$A$9,0))*$M209*$L209,0)</f>
        <v>8</v>
      </c>
      <c r="I209" s="28" t="n">
        <f aca="false">F209/Règles!$C$12+G209+H209</f>
        <v>37.2</v>
      </c>
      <c r="J209" s="29" t="n">
        <v>0.543</v>
      </c>
      <c r="K209" s="29" t="n">
        <v>0.251</v>
      </c>
      <c r="L209" s="29" t="n">
        <v>0.206</v>
      </c>
      <c r="M209" s="30" t="n">
        <v>1.003</v>
      </c>
    </row>
    <row r="210" customFormat="false" ht="15" hidden="false" customHeight="true" outlineLevel="0" collapsed="false">
      <c r="A210" s="3" t="n">
        <v>209</v>
      </c>
      <c r="B210" s="4" t="s">
        <v>186</v>
      </c>
      <c r="C210" s="4" t="s">
        <v>23</v>
      </c>
      <c r="D210" s="9" t="s">
        <v>108</v>
      </c>
      <c r="E210" s="4" t="s">
        <v>338</v>
      </c>
      <c r="F210" s="4" t="n">
        <f aca="false">ROUND(INDEX(Règles!$C$5:$C$9,MATCH($D210,Règles!$A$5:$A$9,0))*$M210*$J210*Règles!$C$12,0)</f>
        <v>66</v>
      </c>
      <c r="G210" s="4" t="n">
        <f aca="false">ROUND(INDEX(Règles!$C$5:$C$9,MATCH($D210,Règles!$A$5:$A$9,0))*$M210*$K210,0)</f>
        <v>13</v>
      </c>
      <c r="H210" s="4" t="n">
        <f aca="false">ROUND(INDEX(Règles!$C$5:$C$9,MATCH($D210,Règles!$A$5:$A$9,0))*$M210*$L210,0)</f>
        <v>11</v>
      </c>
      <c r="I210" s="28" t="n">
        <f aca="false">F210/Règles!$C$12+G210+H210</f>
        <v>37.2</v>
      </c>
      <c r="J210" s="29" t="n">
        <v>0.355</v>
      </c>
      <c r="K210" s="29" t="n">
        <v>0.339</v>
      </c>
      <c r="L210" s="29" t="n">
        <v>0.306</v>
      </c>
      <c r="M210" s="30" t="n">
        <v>0.998</v>
      </c>
    </row>
    <row r="211" customFormat="false" ht="15" hidden="false" customHeight="true" outlineLevel="0" collapsed="false">
      <c r="A211" s="3" t="n">
        <v>210</v>
      </c>
      <c r="B211" s="4" t="s">
        <v>152</v>
      </c>
      <c r="C211" s="4" t="s">
        <v>9</v>
      </c>
      <c r="D211" s="9" t="s">
        <v>108</v>
      </c>
      <c r="E211" s="4" t="s">
        <v>339</v>
      </c>
      <c r="F211" s="4" t="n">
        <f aca="false">ROUND(INDEX(Règles!$C$5:$C$9,MATCH($D211,Règles!$A$5:$A$9,0))*$M211*$J211*Règles!$C$12,0)</f>
        <v>42</v>
      </c>
      <c r="G211" s="4" t="n">
        <f aca="false">ROUND(INDEX(Règles!$C$5:$C$9,MATCH($D211,Règles!$A$5:$A$9,0))*$M211*$K211,0)</f>
        <v>19</v>
      </c>
      <c r="H211" s="4" t="n">
        <f aca="false">ROUND(INDEX(Règles!$C$5:$C$9,MATCH($D211,Règles!$A$5:$A$9,0))*$M211*$L211,0)</f>
        <v>10</v>
      </c>
      <c r="I211" s="28" t="n">
        <f aca="false">F211/Règles!$C$12+G211+H211</f>
        <v>37.4</v>
      </c>
      <c r="J211" s="29" t="n">
        <v>0.227</v>
      </c>
      <c r="K211" s="29" t="n">
        <v>0.504</v>
      </c>
      <c r="L211" s="29" t="n">
        <v>0.269</v>
      </c>
      <c r="M211" s="30" t="n">
        <v>1.007</v>
      </c>
    </row>
    <row r="212" customFormat="false" ht="15" hidden="false" customHeight="true" outlineLevel="0" collapsed="false">
      <c r="A212" s="3" t="n">
        <v>211</v>
      </c>
      <c r="B212" s="4" t="s">
        <v>64</v>
      </c>
      <c r="C212" s="4" t="s">
        <v>9</v>
      </c>
      <c r="D212" s="8" t="s">
        <v>57</v>
      </c>
      <c r="E212" s="4" t="s">
        <v>338</v>
      </c>
      <c r="F212" s="4" t="n">
        <f aca="false">ROUND(INDEX(Règles!$C$5:$C$9,MATCH($D212,Règles!$A$5:$A$9,0))*$M212*$J212*Règles!$C$12,0)</f>
        <v>76</v>
      </c>
      <c r="G212" s="4" t="n">
        <f aca="false">ROUND(INDEX(Règles!$C$5:$C$9,MATCH($D212,Règles!$A$5:$A$9,0))*$M212*$K212,0)</f>
        <v>15</v>
      </c>
      <c r="H212" s="4" t="n">
        <f aca="false">ROUND(INDEX(Règles!$C$5:$C$9,MATCH($D212,Règles!$A$5:$A$9,0))*$M212*$L212,0)</f>
        <v>13</v>
      </c>
      <c r="I212" s="28" t="n">
        <f aca="false">F212/Règles!$C$12+G212+H212</f>
        <v>43.2</v>
      </c>
      <c r="J212" s="29" t="n">
        <v>0.347</v>
      </c>
      <c r="K212" s="29" t="n">
        <v>0.347</v>
      </c>
      <c r="L212" s="29" t="n">
        <v>0.306</v>
      </c>
      <c r="M212" s="30" t="n">
        <v>0.974</v>
      </c>
    </row>
    <row r="213" customFormat="false" ht="15" hidden="false" customHeight="true" outlineLevel="0" collapsed="false">
      <c r="A213" s="3" t="n">
        <v>212</v>
      </c>
      <c r="B213" s="4" t="s">
        <v>65</v>
      </c>
      <c r="C213" s="4" t="s">
        <v>9</v>
      </c>
      <c r="D213" s="8" t="s">
        <v>57</v>
      </c>
      <c r="E213" s="4" t="s">
        <v>339</v>
      </c>
      <c r="F213" s="4" t="n">
        <f aca="false">ROUND(INDEX(Règles!$C$5:$C$9,MATCH($D213,Règles!$A$5:$A$9,0))*$M213*$J213*Règles!$C$12,0)</f>
        <v>51</v>
      </c>
      <c r="G213" s="4" t="n">
        <f aca="false">ROUND(INDEX(Règles!$C$5:$C$9,MATCH($D213,Règles!$A$5:$A$9,0))*$M213*$K213,0)</f>
        <v>23</v>
      </c>
      <c r="H213" s="4" t="n">
        <f aca="false">ROUND(INDEX(Règles!$C$5:$C$9,MATCH($D213,Règles!$A$5:$A$9,0))*$M213*$L213,0)</f>
        <v>12</v>
      </c>
      <c r="I213" s="28" t="n">
        <f aca="false">F213/Règles!$C$12+G213+H213</f>
        <v>45.2</v>
      </c>
      <c r="J213" s="29" t="n">
        <v>0.228</v>
      </c>
      <c r="K213" s="29" t="n">
        <v>0.5</v>
      </c>
      <c r="L213" s="29" t="n">
        <v>0.272</v>
      </c>
      <c r="M213" s="30" t="n">
        <v>1.001</v>
      </c>
    </row>
    <row r="214" customFormat="false" ht="15" hidden="false" customHeight="true" outlineLevel="0" collapsed="false">
      <c r="A214" s="3" t="n">
        <v>213</v>
      </c>
      <c r="B214" s="4" t="s">
        <v>88</v>
      </c>
      <c r="C214" s="4" t="s">
        <v>9</v>
      </c>
      <c r="D214" s="8" t="s">
        <v>57</v>
      </c>
      <c r="E214" s="4" t="s">
        <v>340</v>
      </c>
      <c r="F214" s="4" t="n">
        <f aca="false">ROUND(INDEX(Règles!$C$5:$C$9,MATCH($D214,Règles!$A$5:$A$9,0))*$M214*$J214*Règles!$C$12,0)</f>
        <v>66</v>
      </c>
      <c r="G214" s="4" t="n">
        <f aca="false">ROUND(INDEX(Règles!$C$5:$C$9,MATCH($D214,Règles!$A$5:$A$9,0))*$M214*$K214,0)</f>
        <v>10</v>
      </c>
      <c r="H214" s="4" t="n">
        <f aca="false">ROUND(INDEX(Règles!$C$5:$C$9,MATCH($D214,Règles!$A$5:$A$9,0))*$M214*$L214,0)</f>
        <v>23</v>
      </c>
      <c r="I214" s="28" t="n">
        <f aca="false">F214/Règles!$C$12+G214+H214</f>
        <v>46.2</v>
      </c>
      <c r="J214" s="29" t="n">
        <v>0.29</v>
      </c>
      <c r="K214" s="29" t="n">
        <v>0.212</v>
      </c>
      <c r="L214" s="29" t="n">
        <v>0.498</v>
      </c>
      <c r="M214" s="30" t="n">
        <v>1.019</v>
      </c>
    </row>
    <row r="215" customFormat="false" ht="15" hidden="false" customHeight="true" outlineLevel="0" collapsed="false">
      <c r="A215" s="3" t="n">
        <v>214</v>
      </c>
      <c r="B215" s="4" t="s">
        <v>58</v>
      </c>
      <c r="C215" s="4" t="s">
        <v>9</v>
      </c>
      <c r="D215" s="8" t="s">
        <v>57</v>
      </c>
      <c r="E215" s="4" t="s">
        <v>341</v>
      </c>
      <c r="F215" s="4" t="n">
        <f aca="false">ROUND(INDEX(Règles!$C$5:$C$9,MATCH($D215,Règles!$A$5:$A$9,0))*$M215*$J215*Règles!$C$12,0)</f>
        <v>127</v>
      </c>
      <c r="G215" s="4" t="n">
        <f aca="false">ROUND(INDEX(Règles!$C$5:$C$9,MATCH($D215,Règles!$A$5:$A$9,0))*$M215*$K215,0)</f>
        <v>11</v>
      </c>
      <c r="H215" s="4" t="n">
        <f aca="false">ROUND(INDEX(Règles!$C$5:$C$9,MATCH($D215,Règles!$A$5:$A$9,0))*$M215*$L215,0)</f>
        <v>8</v>
      </c>
      <c r="I215" s="28" t="n">
        <f aca="false">F215/Règles!$C$12+G215+H215</f>
        <v>44.4</v>
      </c>
      <c r="J215" s="29" t="n">
        <v>0.57</v>
      </c>
      <c r="K215" s="29" t="n">
        <v>0.255</v>
      </c>
      <c r="L215" s="29" t="n">
        <v>0.175</v>
      </c>
      <c r="M215" s="30" t="n">
        <v>0.988</v>
      </c>
    </row>
    <row r="216" customFormat="false" ht="15" hidden="false" customHeight="true" outlineLevel="0" collapsed="false">
      <c r="A216" s="3" t="n">
        <v>215</v>
      </c>
      <c r="B216" s="4" t="s">
        <v>68</v>
      </c>
      <c r="C216" s="4" t="s">
        <v>9</v>
      </c>
      <c r="D216" s="8" t="s">
        <v>57</v>
      </c>
      <c r="E216" s="4" t="s">
        <v>338</v>
      </c>
      <c r="F216" s="4" t="n">
        <f aca="false">ROUND(INDEX(Règles!$C$5:$C$9,MATCH($D216,Règles!$A$5:$A$9,0))*$M216*$J216*Règles!$C$12,0)</f>
        <v>81</v>
      </c>
      <c r="G216" s="4" t="n">
        <f aca="false">ROUND(INDEX(Règles!$C$5:$C$9,MATCH($D216,Règles!$A$5:$A$9,0))*$M216*$K216,0)</f>
        <v>14</v>
      </c>
      <c r="H216" s="4" t="n">
        <f aca="false">ROUND(INDEX(Règles!$C$5:$C$9,MATCH($D216,Règles!$A$5:$A$9,0))*$M216*$L216,0)</f>
        <v>15</v>
      </c>
      <c r="I216" s="28" t="n">
        <f aca="false">F216/Règles!$C$12+G216+H216</f>
        <v>45.2</v>
      </c>
      <c r="J216" s="29" t="n">
        <v>0.352</v>
      </c>
      <c r="K216" s="29" t="n">
        <v>0.312</v>
      </c>
      <c r="L216" s="29" t="n">
        <v>0.336</v>
      </c>
      <c r="M216" s="30" t="n">
        <v>1.019</v>
      </c>
    </row>
    <row r="217" customFormat="false" ht="15" hidden="false" customHeight="true" outlineLevel="0" collapsed="false">
      <c r="A217" s="3" t="n">
        <v>216</v>
      </c>
      <c r="B217" s="4" t="s">
        <v>67</v>
      </c>
      <c r="C217" s="4" t="s">
        <v>9</v>
      </c>
      <c r="D217" s="8" t="s">
        <v>57</v>
      </c>
      <c r="E217" s="4" t="s">
        <v>339</v>
      </c>
      <c r="F217" s="4" t="n">
        <f aca="false">ROUND(INDEX(Règles!$C$5:$C$9,MATCH($D217,Règles!$A$5:$A$9,0))*$M217*$J217*Règles!$C$12,0)</f>
        <v>55</v>
      </c>
      <c r="G217" s="4" t="n">
        <f aca="false">ROUND(INDEX(Règles!$C$5:$C$9,MATCH($D217,Règles!$A$5:$A$9,0))*$M217*$K217,0)</f>
        <v>23</v>
      </c>
      <c r="H217" s="4" t="n">
        <f aca="false">ROUND(INDEX(Règles!$C$5:$C$9,MATCH($D217,Règles!$A$5:$A$9,0))*$M217*$L217,0)</f>
        <v>11</v>
      </c>
      <c r="I217" s="28" t="n">
        <f aca="false">F217/Règles!$C$12+G217+H217</f>
        <v>45</v>
      </c>
      <c r="J217" s="29" t="n">
        <v>0.244</v>
      </c>
      <c r="K217" s="29" t="n">
        <v>0.513</v>
      </c>
      <c r="L217" s="29" t="n">
        <v>0.243</v>
      </c>
      <c r="M217" s="30" t="n">
        <v>0.995</v>
      </c>
    </row>
    <row r="218" customFormat="false" ht="15" hidden="false" customHeight="true" outlineLevel="0" collapsed="false">
      <c r="A218" s="3" t="n">
        <v>217</v>
      </c>
      <c r="B218" s="4" t="s">
        <v>92</v>
      </c>
      <c r="C218" s="4" t="s">
        <v>23</v>
      </c>
      <c r="D218" s="8" t="s">
        <v>57</v>
      </c>
      <c r="E218" s="4" t="s">
        <v>340</v>
      </c>
      <c r="F218" s="4" t="n">
        <f aca="false">ROUND(INDEX(Règles!$C$5:$C$9,MATCH($D218,Règles!$A$5:$A$9,0))*$M218*$J218*Règles!$C$12,0)</f>
        <v>73</v>
      </c>
      <c r="G218" s="4" t="n">
        <f aca="false">ROUND(INDEX(Règles!$C$5:$C$9,MATCH($D218,Règles!$A$5:$A$9,0))*$M218*$K218,0)</f>
        <v>8</v>
      </c>
      <c r="H218" s="4" t="n">
        <f aca="false">ROUND(INDEX(Règles!$C$5:$C$9,MATCH($D218,Règles!$A$5:$A$9,0))*$M218*$L218,0)</f>
        <v>22</v>
      </c>
      <c r="I218" s="28" t="n">
        <f aca="false">F218/Règles!$C$12+G218+H218</f>
        <v>44.6</v>
      </c>
      <c r="J218" s="29" t="n">
        <v>0.328</v>
      </c>
      <c r="K218" s="29" t="n">
        <v>0.183</v>
      </c>
      <c r="L218" s="29" t="n">
        <v>0.489</v>
      </c>
      <c r="M218" s="30" t="n">
        <v>0.994</v>
      </c>
    </row>
    <row r="219" customFormat="false" ht="15" hidden="false" customHeight="true" outlineLevel="0" collapsed="false">
      <c r="A219" s="3" t="n">
        <v>218</v>
      </c>
      <c r="B219" s="4" t="s">
        <v>78</v>
      </c>
      <c r="C219" s="4" t="s">
        <v>9</v>
      </c>
      <c r="D219" s="8" t="s">
        <v>57</v>
      </c>
      <c r="E219" s="4" t="s">
        <v>341</v>
      </c>
      <c r="F219" s="4" t="n">
        <f aca="false">ROUND(INDEX(Règles!$C$5:$C$9,MATCH($D219,Règles!$A$5:$A$9,0))*$M219*$J219*Règles!$C$12,0)</f>
        <v>126</v>
      </c>
      <c r="G219" s="4" t="n">
        <f aca="false">ROUND(INDEX(Règles!$C$5:$C$9,MATCH($D219,Règles!$A$5:$A$9,0))*$M219*$K219,0)</f>
        <v>13</v>
      </c>
      <c r="H219" s="4" t="n">
        <f aca="false">ROUND(INDEX(Règles!$C$5:$C$9,MATCH($D219,Règles!$A$5:$A$9,0))*$M219*$L219,0)</f>
        <v>8</v>
      </c>
      <c r="I219" s="28" t="n">
        <f aca="false">F219/Règles!$C$12+G219+H219</f>
        <v>46.2</v>
      </c>
      <c r="J219" s="29" t="n">
        <v>0.548</v>
      </c>
      <c r="K219" s="29" t="n">
        <v>0.272</v>
      </c>
      <c r="L219" s="29" t="n">
        <v>0.18</v>
      </c>
      <c r="M219" s="30" t="n">
        <v>1.024</v>
      </c>
    </row>
    <row r="220" customFormat="false" ht="15" hidden="false" customHeight="true" outlineLevel="0" collapsed="false">
      <c r="A220" s="3" t="n">
        <v>219</v>
      </c>
      <c r="B220" s="4" t="s">
        <v>103</v>
      </c>
      <c r="C220" s="4" t="s">
        <v>23</v>
      </c>
      <c r="D220" s="8" t="s">
        <v>57</v>
      </c>
      <c r="E220" s="4" t="s">
        <v>338</v>
      </c>
      <c r="F220" s="4" t="n">
        <f aca="false">ROUND(INDEX(Règles!$C$5:$C$9,MATCH($D220,Règles!$A$5:$A$9,0))*$M220*$J220*Règles!$C$12,0)</f>
        <v>77</v>
      </c>
      <c r="G220" s="4" t="n">
        <f aca="false">ROUND(INDEX(Règles!$C$5:$C$9,MATCH($D220,Règles!$A$5:$A$9,0))*$M220*$K220,0)</f>
        <v>15</v>
      </c>
      <c r="H220" s="4" t="n">
        <f aca="false">ROUND(INDEX(Règles!$C$5:$C$9,MATCH($D220,Règles!$A$5:$A$9,0))*$M220*$L220,0)</f>
        <v>15</v>
      </c>
      <c r="I220" s="28" t="n">
        <f aca="false">F220/Règles!$C$12+G220+H220</f>
        <v>45.4</v>
      </c>
      <c r="J220" s="29" t="n">
        <v>0.338</v>
      </c>
      <c r="K220" s="29" t="n">
        <v>0.337</v>
      </c>
      <c r="L220" s="29" t="n">
        <v>0.325</v>
      </c>
      <c r="M220" s="30" t="n">
        <v>1.013</v>
      </c>
    </row>
    <row r="221" customFormat="false" ht="15" hidden="false" customHeight="true" outlineLevel="0" collapsed="false">
      <c r="A221" s="3" t="n">
        <v>220</v>
      </c>
      <c r="B221" s="4" t="s">
        <v>91</v>
      </c>
      <c r="C221" s="4" t="s">
        <v>23</v>
      </c>
      <c r="D221" s="8" t="s">
        <v>57</v>
      </c>
      <c r="E221" s="4" t="s">
        <v>339</v>
      </c>
      <c r="F221" s="4" t="n">
        <f aca="false">ROUND(INDEX(Règles!$C$5:$C$9,MATCH($D221,Règles!$A$5:$A$9,0))*$M221*$J221*Règles!$C$12,0)</f>
        <v>54</v>
      </c>
      <c r="G221" s="4" t="n">
        <f aca="false">ROUND(INDEX(Règles!$C$5:$C$9,MATCH($D221,Règles!$A$5:$A$9,0))*$M221*$K221,0)</f>
        <v>22</v>
      </c>
      <c r="H221" s="4" t="n">
        <f aca="false">ROUND(INDEX(Règles!$C$5:$C$9,MATCH($D221,Règles!$A$5:$A$9,0))*$M221*$L221,0)</f>
        <v>13</v>
      </c>
      <c r="I221" s="28" t="n">
        <f aca="false">F221/Règles!$C$12+G221+H221</f>
        <v>45.8</v>
      </c>
      <c r="J221" s="29" t="n">
        <v>0.233</v>
      </c>
      <c r="K221" s="29" t="n">
        <v>0.487</v>
      </c>
      <c r="L221" s="29" t="n">
        <v>0.28</v>
      </c>
      <c r="M221" s="30" t="n">
        <v>1.024</v>
      </c>
    </row>
    <row r="222" customFormat="false" ht="15" hidden="false" customHeight="true" outlineLevel="0" collapsed="false">
      <c r="A222" s="3" t="n">
        <v>221</v>
      </c>
      <c r="B222" s="4" t="s">
        <v>94</v>
      </c>
      <c r="C222" s="4" t="s">
        <v>23</v>
      </c>
      <c r="D222" s="8" t="s">
        <v>57</v>
      </c>
      <c r="E222" s="4" t="s">
        <v>340</v>
      </c>
      <c r="F222" s="4" t="n">
        <f aca="false">ROUND(INDEX(Règles!$C$5:$C$9,MATCH($D222,Règles!$A$5:$A$9,0))*$M222*$J222*Règles!$C$12,0)</f>
        <v>70</v>
      </c>
      <c r="G222" s="4" t="n">
        <f aca="false">ROUND(INDEX(Règles!$C$5:$C$9,MATCH($D222,Règles!$A$5:$A$9,0))*$M222*$K222,0)</f>
        <v>9</v>
      </c>
      <c r="H222" s="4" t="n">
        <f aca="false">ROUND(INDEX(Règles!$C$5:$C$9,MATCH($D222,Règles!$A$5:$A$9,0))*$M222*$L222,0)</f>
        <v>21</v>
      </c>
      <c r="I222" s="28" t="n">
        <f aca="false">F222/Règles!$C$12+G222+H222</f>
        <v>44</v>
      </c>
      <c r="J222" s="29" t="n">
        <v>0.318</v>
      </c>
      <c r="K222" s="29" t="n">
        <v>0.205</v>
      </c>
      <c r="L222" s="29" t="n">
        <v>0.477</v>
      </c>
      <c r="M222" s="30" t="n">
        <v>0.983</v>
      </c>
    </row>
    <row r="223" customFormat="false" ht="15" hidden="false" customHeight="true" outlineLevel="0" collapsed="false">
      <c r="A223" s="3" t="n">
        <v>222</v>
      </c>
      <c r="B223" s="4" t="s">
        <v>98</v>
      </c>
      <c r="C223" s="4" t="s">
        <v>23</v>
      </c>
      <c r="D223" s="8" t="s">
        <v>57</v>
      </c>
      <c r="E223" s="4" t="s">
        <v>341</v>
      </c>
      <c r="F223" s="4" t="n">
        <f aca="false">ROUND(INDEX(Règles!$C$5:$C$9,MATCH($D223,Règles!$A$5:$A$9,0))*$M223*$J223*Règles!$C$12,0)</f>
        <v>121</v>
      </c>
      <c r="G223" s="4" t="n">
        <f aca="false">ROUND(INDEX(Règles!$C$5:$C$9,MATCH($D223,Règles!$A$5:$A$9,0))*$M223*$K223,0)</f>
        <v>12</v>
      </c>
      <c r="H223" s="4" t="n">
        <f aca="false">ROUND(INDEX(Règles!$C$5:$C$9,MATCH($D223,Règles!$A$5:$A$9,0))*$M223*$L223,0)</f>
        <v>8</v>
      </c>
      <c r="I223" s="28" t="n">
        <f aca="false">F223/Règles!$C$12+G223+H223</f>
        <v>44.2</v>
      </c>
      <c r="J223" s="29" t="n">
        <v>0.55</v>
      </c>
      <c r="K223" s="29" t="n">
        <v>0.266</v>
      </c>
      <c r="L223" s="29" t="n">
        <v>0.184</v>
      </c>
      <c r="M223" s="30" t="n">
        <v>0.979</v>
      </c>
    </row>
    <row r="224" customFormat="false" ht="15" hidden="false" customHeight="true" outlineLevel="0" collapsed="false">
      <c r="A224" s="3" t="n">
        <v>223</v>
      </c>
      <c r="B224" s="4" t="s">
        <v>101</v>
      </c>
      <c r="C224" s="4" t="s">
        <v>23</v>
      </c>
      <c r="D224" s="8" t="s">
        <v>57</v>
      </c>
      <c r="E224" s="4" t="s">
        <v>338</v>
      </c>
      <c r="F224" s="4" t="n">
        <f aca="false">ROUND(INDEX(Règles!$C$5:$C$9,MATCH($D224,Règles!$A$5:$A$9,0))*$M224*$J224*Règles!$C$12,0)</f>
        <v>78</v>
      </c>
      <c r="G224" s="4" t="n">
        <f aca="false">ROUND(INDEX(Règles!$C$5:$C$9,MATCH($D224,Règles!$A$5:$A$9,0))*$M224*$K224,0)</f>
        <v>15</v>
      </c>
      <c r="H224" s="4" t="n">
        <f aca="false">ROUND(INDEX(Règles!$C$5:$C$9,MATCH($D224,Règles!$A$5:$A$9,0))*$M224*$L224,0)</f>
        <v>16</v>
      </c>
      <c r="I224" s="28" t="n">
        <f aca="false">F224/Règles!$C$12+G224+H224</f>
        <v>46.6</v>
      </c>
      <c r="J224" s="29" t="n">
        <v>0.341</v>
      </c>
      <c r="K224" s="29" t="n">
        <v>0.318</v>
      </c>
      <c r="L224" s="29" t="n">
        <v>0.341</v>
      </c>
      <c r="M224" s="30" t="n">
        <v>1.022</v>
      </c>
    </row>
    <row r="225" customFormat="false" ht="15" hidden="false" customHeight="true" outlineLevel="0" collapsed="false">
      <c r="A225" s="3" t="n">
        <v>224</v>
      </c>
      <c r="B225" s="4" t="s">
        <v>81</v>
      </c>
      <c r="C225" s="4" t="s">
        <v>9</v>
      </c>
      <c r="D225" s="8" t="s">
        <v>57</v>
      </c>
      <c r="E225" s="4" t="s">
        <v>339</v>
      </c>
      <c r="F225" s="4" t="n">
        <f aca="false">ROUND(INDEX(Règles!$C$5:$C$9,MATCH($D225,Règles!$A$5:$A$9,0))*$M225*$J225*Règles!$C$12,0)</f>
        <v>62</v>
      </c>
      <c r="G225" s="4" t="n">
        <f aca="false">ROUND(INDEX(Règles!$C$5:$C$9,MATCH($D225,Règles!$A$5:$A$9,0))*$M225*$K225,0)</f>
        <v>22</v>
      </c>
      <c r="H225" s="4" t="n">
        <f aca="false">ROUND(INDEX(Règles!$C$5:$C$9,MATCH($D225,Règles!$A$5:$A$9,0))*$M225*$L225,0)</f>
        <v>12</v>
      </c>
      <c r="I225" s="28" t="n">
        <f aca="false">F225/Règles!$C$12+G225+H225</f>
        <v>46.4</v>
      </c>
      <c r="J225" s="29" t="n">
        <v>0.268</v>
      </c>
      <c r="K225" s="29" t="n">
        <v>0.481</v>
      </c>
      <c r="L225" s="29" t="n">
        <v>0.251</v>
      </c>
      <c r="M225" s="30" t="n">
        <v>1.024</v>
      </c>
    </row>
    <row r="226" customFormat="false" ht="15" hidden="false" customHeight="true" outlineLevel="0" collapsed="false">
      <c r="A226" s="3" t="n">
        <v>225</v>
      </c>
      <c r="B226" s="4" t="s">
        <v>99</v>
      </c>
      <c r="C226" s="4" t="s">
        <v>23</v>
      </c>
      <c r="D226" s="8" t="s">
        <v>57</v>
      </c>
      <c r="E226" s="4" t="s">
        <v>340</v>
      </c>
      <c r="F226" s="4" t="n">
        <f aca="false">ROUND(INDEX(Règles!$C$5:$C$9,MATCH($D226,Règles!$A$5:$A$9,0))*$M226*$J226*Règles!$C$12,0)</f>
        <v>72</v>
      </c>
      <c r="G226" s="4" t="n">
        <f aca="false">ROUND(INDEX(Règles!$C$5:$C$9,MATCH($D226,Règles!$A$5:$A$9,0))*$M226*$K226,0)</f>
        <v>9</v>
      </c>
      <c r="H226" s="4" t="n">
        <f aca="false">ROUND(INDEX(Règles!$C$5:$C$9,MATCH($D226,Règles!$A$5:$A$9,0))*$M226*$L226,0)</f>
        <v>22</v>
      </c>
      <c r="I226" s="28" t="n">
        <f aca="false">F226/Règles!$C$12+G226+H226</f>
        <v>45.4</v>
      </c>
      <c r="J226" s="29" t="n">
        <v>0.318</v>
      </c>
      <c r="K226" s="29" t="n">
        <v>0.207</v>
      </c>
      <c r="L226" s="29" t="n">
        <v>0.475</v>
      </c>
      <c r="M226" s="30" t="n">
        <v>1.008</v>
      </c>
    </row>
    <row r="227" customFormat="false" ht="15" hidden="false" customHeight="true" outlineLevel="0" collapsed="false">
      <c r="A227" s="3" t="n">
        <v>226</v>
      </c>
      <c r="B227" s="4" t="s">
        <v>61</v>
      </c>
      <c r="C227" s="4" t="s">
        <v>9</v>
      </c>
      <c r="D227" s="8" t="s">
        <v>57</v>
      </c>
      <c r="E227" s="4" t="s">
        <v>341</v>
      </c>
      <c r="F227" s="4" t="n">
        <f aca="false">ROUND(INDEX(Règles!$C$5:$C$9,MATCH($D227,Règles!$A$5:$A$9,0))*$M227*$J227*Règles!$C$12,0)</f>
        <v>123</v>
      </c>
      <c r="G227" s="4" t="n">
        <f aca="false">ROUND(INDEX(Règles!$C$5:$C$9,MATCH($D227,Règles!$A$5:$A$9,0))*$M227*$K227,0)</f>
        <v>11</v>
      </c>
      <c r="H227" s="4" t="n">
        <f aca="false">ROUND(INDEX(Règles!$C$5:$C$9,MATCH($D227,Règles!$A$5:$A$9,0))*$M227*$L227,0)</f>
        <v>9</v>
      </c>
      <c r="I227" s="28" t="n">
        <f aca="false">F227/Règles!$C$12+G227+H227</f>
        <v>44.6</v>
      </c>
      <c r="J227" s="29" t="n">
        <v>0.547</v>
      </c>
      <c r="K227" s="29" t="n">
        <v>0.249</v>
      </c>
      <c r="L227" s="29" t="n">
        <v>0.204</v>
      </c>
      <c r="M227" s="30" t="n">
        <v>1.001</v>
      </c>
    </row>
    <row r="228" customFormat="false" ht="15" hidden="false" customHeight="true" outlineLevel="0" collapsed="false">
      <c r="A228" s="3" t="n">
        <v>227</v>
      </c>
      <c r="B228" s="4" t="s">
        <v>72</v>
      </c>
      <c r="C228" s="4" t="s">
        <v>9</v>
      </c>
      <c r="D228" s="8" t="s">
        <v>57</v>
      </c>
      <c r="E228" s="4" t="s">
        <v>338</v>
      </c>
      <c r="F228" s="4" t="n">
        <f aca="false">ROUND(INDEX(Règles!$C$5:$C$9,MATCH($D228,Règles!$A$5:$A$9,0))*$M228*$J228*Règles!$C$12,0)</f>
        <v>84</v>
      </c>
      <c r="G228" s="4" t="n">
        <f aca="false">ROUND(INDEX(Règles!$C$5:$C$9,MATCH($D228,Règles!$A$5:$A$9,0))*$M228*$K228,0)</f>
        <v>16</v>
      </c>
      <c r="H228" s="4" t="n">
        <f aca="false">ROUND(INDEX(Règles!$C$5:$C$9,MATCH($D228,Règles!$A$5:$A$9,0))*$M228*$L228,0)</f>
        <v>14</v>
      </c>
      <c r="I228" s="28" t="n">
        <f aca="false">F228/Règles!$C$12+G228+H228</f>
        <v>46.8</v>
      </c>
      <c r="J228" s="29" t="n">
        <v>0.363</v>
      </c>
      <c r="K228" s="29" t="n">
        <v>0.338</v>
      </c>
      <c r="L228" s="29" t="n">
        <v>0.299</v>
      </c>
      <c r="M228" s="30" t="n">
        <v>1.023</v>
      </c>
    </row>
    <row r="229" customFormat="false" ht="15" hidden="false" customHeight="true" outlineLevel="0" collapsed="false">
      <c r="A229" s="3" t="n">
        <v>228</v>
      </c>
      <c r="B229" s="4" t="s">
        <v>70</v>
      </c>
      <c r="C229" s="4" t="s">
        <v>9</v>
      </c>
      <c r="D229" s="8" t="s">
        <v>57</v>
      </c>
      <c r="E229" s="4" t="s">
        <v>339</v>
      </c>
      <c r="F229" s="4" t="n">
        <f aca="false">ROUND(INDEX(Règles!$C$5:$C$9,MATCH($D229,Règles!$A$5:$A$9,0))*$M229*$J229*Règles!$C$12,0)</f>
        <v>59</v>
      </c>
      <c r="G229" s="4" t="n">
        <f aca="false">ROUND(INDEX(Règles!$C$5:$C$9,MATCH($D229,Règles!$A$5:$A$9,0))*$M229*$K229,0)</f>
        <v>22</v>
      </c>
      <c r="H229" s="4" t="n">
        <f aca="false">ROUND(INDEX(Règles!$C$5:$C$9,MATCH($D229,Règles!$A$5:$A$9,0))*$M229*$L229,0)</f>
        <v>11</v>
      </c>
      <c r="I229" s="28" t="n">
        <f aca="false">F229/Règles!$C$12+G229+H229</f>
        <v>44.8</v>
      </c>
      <c r="J229" s="29" t="n">
        <v>0.263</v>
      </c>
      <c r="K229" s="29" t="n">
        <v>0.499</v>
      </c>
      <c r="L229" s="29" t="n">
        <v>0.238</v>
      </c>
      <c r="M229" s="30" t="n">
        <v>0.993</v>
      </c>
    </row>
    <row r="230" customFormat="false" ht="15" hidden="false" customHeight="true" outlineLevel="0" collapsed="false">
      <c r="A230" s="3" t="n">
        <v>229</v>
      </c>
      <c r="B230" s="4" t="s">
        <v>77</v>
      </c>
      <c r="C230" s="4" t="s">
        <v>9</v>
      </c>
      <c r="D230" s="8" t="s">
        <v>57</v>
      </c>
      <c r="E230" s="4" t="s">
        <v>340</v>
      </c>
      <c r="F230" s="4" t="n">
        <f aca="false">ROUND(INDEX(Règles!$C$5:$C$9,MATCH($D230,Règles!$A$5:$A$9,0))*$M230*$J230*Règles!$C$12,0)</f>
        <v>70</v>
      </c>
      <c r="G230" s="4" t="n">
        <f aca="false">ROUND(INDEX(Règles!$C$5:$C$9,MATCH($D230,Règles!$A$5:$A$9,0))*$M230*$K230,0)</f>
        <v>9</v>
      </c>
      <c r="H230" s="4" t="n">
        <f aca="false">ROUND(INDEX(Règles!$C$5:$C$9,MATCH($D230,Règles!$A$5:$A$9,0))*$M230*$L230,0)</f>
        <v>22</v>
      </c>
      <c r="I230" s="28" t="n">
        <f aca="false">F230/Règles!$C$12+G230+H230</f>
        <v>45</v>
      </c>
      <c r="J230" s="29" t="n">
        <v>0.312</v>
      </c>
      <c r="K230" s="29" t="n">
        <v>0.202</v>
      </c>
      <c r="L230" s="29" t="n">
        <v>0.486</v>
      </c>
      <c r="M230" s="30" t="n">
        <v>1.001</v>
      </c>
    </row>
    <row r="231" customFormat="false" ht="15" hidden="false" customHeight="true" outlineLevel="0" collapsed="false">
      <c r="A231" s="3" t="n">
        <v>230</v>
      </c>
      <c r="B231" s="4" t="s">
        <v>83</v>
      </c>
      <c r="C231" s="4" t="s">
        <v>9</v>
      </c>
      <c r="D231" s="8" t="s">
        <v>57</v>
      </c>
      <c r="E231" s="4" t="s">
        <v>341</v>
      </c>
      <c r="F231" s="4" t="n">
        <f aca="false">ROUND(INDEX(Règles!$C$5:$C$9,MATCH($D231,Règles!$A$5:$A$9,0))*$M231*$J231*Règles!$C$12,0)</f>
        <v>125</v>
      </c>
      <c r="G231" s="4" t="n">
        <f aca="false">ROUND(INDEX(Règles!$C$5:$C$9,MATCH($D231,Règles!$A$5:$A$9,0))*$M231*$K231,0)</f>
        <v>11</v>
      </c>
      <c r="H231" s="4" t="n">
        <f aca="false">ROUND(INDEX(Règles!$C$5:$C$9,MATCH($D231,Règles!$A$5:$A$9,0))*$M231*$L231,0)</f>
        <v>8</v>
      </c>
      <c r="I231" s="28" t="n">
        <f aca="false">F231/Règles!$C$12+G231+H231</f>
        <v>44</v>
      </c>
      <c r="J231" s="29" t="n">
        <v>0.563</v>
      </c>
      <c r="K231" s="29" t="n">
        <v>0.248</v>
      </c>
      <c r="L231" s="29" t="n">
        <v>0.189</v>
      </c>
      <c r="M231" s="30" t="n">
        <v>0.989</v>
      </c>
    </row>
    <row r="232" customFormat="false" ht="15" hidden="false" customHeight="true" outlineLevel="0" collapsed="false">
      <c r="A232" s="3" t="n">
        <v>231</v>
      </c>
      <c r="B232" s="4" t="s">
        <v>102</v>
      </c>
      <c r="C232" s="4" t="s">
        <v>23</v>
      </c>
      <c r="D232" s="8" t="s">
        <v>57</v>
      </c>
      <c r="E232" s="4" t="s">
        <v>338</v>
      </c>
      <c r="F232" s="4" t="n">
        <f aca="false">ROUND(INDEX(Règles!$C$5:$C$9,MATCH($D232,Règles!$A$5:$A$9,0))*$M232*$J232*Règles!$C$12,0)</f>
        <v>73</v>
      </c>
      <c r="G232" s="4" t="n">
        <f aca="false">ROUND(INDEX(Règles!$C$5:$C$9,MATCH($D232,Règles!$A$5:$A$9,0))*$M232*$K232,0)</f>
        <v>14</v>
      </c>
      <c r="H232" s="4" t="n">
        <f aca="false">ROUND(INDEX(Règles!$C$5:$C$9,MATCH($D232,Règles!$A$5:$A$9,0))*$M232*$L232,0)</f>
        <v>15</v>
      </c>
      <c r="I232" s="28" t="n">
        <f aca="false">F232/Règles!$C$12+G232+H232</f>
        <v>43.6</v>
      </c>
      <c r="J232" s="29" t="n">
        <v>0.331</v>
      </c>
      <c r="K232" s="29" t="n">
        <v>0.326</v>
      </c>
      <c r="L232" s="29" t="n">
        <v>0.343</v>
      </c>
      <c r="M232" s="30" t="n">
        <v>0.984</v>
      </c>
    </row>
    <row r="233" customFormat="false" ht="15" hidden="false" customHeight="true" outlineLevel="0" collapsed="false">
      <c r="A233" s="3" t="n">
        <v>232</v>
      </c>
      <c r="B233" s="4" t="s">
        <v>60</v>
      </c>
      <c r="C233" s="4" t="s">
        <v>9</v>
      </c>
      <c r="D233" s="8" t="s">
        <v>57</v>
      </c>
      <c r="E233" s="4" t="s">
        <v>339</v>
      </c>
      <c r="F233" s="4" t="n">
        <f aca="false">ROUND(INDEX(Règles!$C$5:$C$9,MATCH($D233,Règles!$A$5:$A$9,0))*$M233*$J233*Règles!$C$12,0)</f>
        <v>58</v>
      </c>
      <c r="G233" s="4" t="n">
        <f aca="false">ROUND(INDEX(Règles!$C$5:$C$9,MATCH($D233,Règles!$A$5:$A$9,0))*$M233*$K233,0)</f>
        <v>21</v>
      </c>
      <c r="H233" s="4" t="n">
        <f aca="false">ROUND(INDEX(Règles!$C$5:$C$9,MATCH($D233,Règles!$A$5:$A$9,0))*$M233*$L233,0)</f>
        <v>12</v>
      </c>
      <c r="I233" s="28" t="n">
        <f aca="false">F233/Règles!$C$12+G233+H233</f>
        <v>44.6</v>
      </c>
      <c r="J233" s="29" t="n">
        <v>0.261</v>
      </c>
      <c r="K233" s="29" t="n">
        <v>0.471</v>
      </c>
      <c r="L233" s="29" t="n">
        <v>0.268</v>
      </c>
      <c r="M233" s="30" t="n">
        <v>0.993</v>
      </c>
    </row>
    <row r="234" customFormat="false" ht="15" hidden="false" customHeight="true" outlineLevel="0" collapsed="false">
      <c r="A234" s="3" t="n">
        <v>233</v>
      </c>
      <c r="B234" s="4" t="s">
        <v>96</v>
      </c>
      <c r="C234" s="4" t="s">
        <v>23</v>
      </c>
      <c r="D234" s="8" t="s">
        <v>57</v>
      </c>
      <c r="E234" s="4" t="s">
        <v>340</v>
      </c>
      <c r="F234" s="4" t="n">
        <f aca="false">ROUND(INDEX(Règles!$C$5:$C$9,MATCH($D234,Règles!$A$5:$A$9,0))*$M234*$J234*Règles!$C$12,0)</f>
        <v>63</v>
      </c>
      <c r="G234" s="4" t="n">
        <f aca="false">ROUND(INDEX(Règles!$C$5:$C$9,MATCH($D234,Règles!$A$5:$A$9,0))*$M234*$K234,0)</f>
        <v>9</v>
      </c>
      <c r="H234" s="4" t="n">
        <f aca="false">ROUND(INDEX(Règles!$C$5:$C$9,MATCH($D234,Règles!$A$5:$A$9,0))*$M234*$L234,0)</f>
        <v>22</v>
      </c>
      <c r="I234" s="28" t="n">
        <f aca="false">F234/Règles!$C$12+G234+H234</f>
        <v>43.6</v>
      </c>
      <c r="J234" s="29" t="n">
        <v>0.286</v>
      </c>
      <c r="K234" s="29" t="n">
        <v>0.21</v>
      </c>
      <c r="L234" s="29" t="n">
        <v>0.504</v>
      </c>
      <c r="M234" s="30" t="n">
        <v>0.982</v>
      </c>
    </row>
    <row r="235" customFormat="false" ht="15" hidden="false" customHeight="true" outlineLevel="0" collapsed="false">
      <c r="A235" s="3" t="n">
        <v>234</v>
      </c>
      <c r="B235" s="4" t="s">
        <v>76</v>
      </c>
      <c r="C235" s="4" t="s">
        <v>9</v>
      </c>
      <c r="D235" s="8" t="s">
        <v>57</v>
      </c>
      <c r="E235" s="4" t="s">
        <v>341</v>
      </c>
      <c r="F235" s="4" t="n">
        <f aca="false">ROUND(INDEX(Règles!$C$5:$C$9,MATCH($D235,Règles!$A$5:$A$9,0))*$M235*$J235*Règles!$C$12,0)</f>
        <v>119</v>
      </c>
      <c r="G235" s="4" t="n">
        <f aca="false">ROUND(INDEX(Règles!$C$5:$C$9,MATCH($D235,Règles!$A$5:$A$9,0))*$M235*$K235,0)</f>
        <v>11</v>
      </c>
      <c r="H235" s="4" t="n">
        <f aca="false">ROUND(INDEX(Règles!$C$5:$C$9,MATCH($D235,Règles!$A$5:$A$9,0))*$M235*$L235,0)</f>
        <v>9</v>
      </c>
      <c r="I235" s="28" t="n">
        <f aca="false">F235/Règles!$C$12+G235+H235</f>
        <v>43.8</v>
      </c>
      <c r="J235" s="29" t="n">
        <v>0.543</v>
      </c>
      <c r="K235" s="29" t="n">
        <v>0.244</v>
      </c>
      <c r="L235" s="29" t="n">
        <v>0.213</v>
      </c>
      <c r="M235" s="30" t="n">
        <v>0.978</v>
      </c>
    </row>
    <row r="236" customFormat="false" ht="15" hidden="false" customHeight="true" outlineLevel="0" collapsed="false">
      <c r="A236" s="3" t="n">
        <v>235</v>
      </c>
      <c r="B236" s="4" t="s">
        <v>84</v>
      </c>
      <c r="C236" s="4" t="s">
        <v>9</v>
      </c>
      <c r="D236" s="8" t="s">
        <v>57</v>
      </c>
      <c r="E236" s="4" t="s">
        <v>338</v>
      </c>
      <c r="F236" s="4" t="n">
        <f aca="false">ROUND(INDEX(Règles!$C$5:$C$9,MATCH($D236,Règles!$A$5:$A$9,0))*$M236*$J236*Règles!$C$12,0)</f>
        <v>73</v>
      </c>
      <c r="G236" s="4" t="n">
        <f aca="false">ROUND(INDEX(Règles!$C$5:$C$9,MATCH($D236,Règles!$A$5:$A$9,0))*$M236*$K236,0)</f>
        <v>15</v>
      </c>
      <c r="H236" s="4" t="n">
        <f aca="false">ROUND(INDEX(Règles!$C$5:$C$9,MATCH($D236,Règles!$A$5:$A$9,0))*$M236*$L236,0)</f>
        <v>15</v>
      </c>
      <c r="I236" s="28" t="n">
        <f aca="false">F236/Règles!$C$12+G236+H236</f>
        <v>44.6</v>
      </c>
      <c r="J236" s="29" t="n">
        <v>0.332</v>
      </c>
      <c r="K236" s="29" t="n">
        <v>0.336</v>
      </c>
      <c r="L236" s="29" t="n">
        <v>0.332</v>
      </c>
      <c r="M236" s="30" t="n">
        <v>0.978</v>
      </c>
    </row>
    <row r="237" customFormat="false" ht="15" hidden="false" customHeight="true" outlineLevel="0" collapsed="false">
      <c r="A237" s="3" t="n">
        <v>236</v>
      </c>
      <c r="B237" s="4" t="s">
        <v>66</v>
      </c>
      <c r="C237" s="4" t="s">
        <v>9</v>
      </c>
      <c r="D237" s="8" t="s">
        <v>57</v>
      </c>
      <c r="E237" s="4" t="s">
        <v>339</v>
      </c>
      <c r="F237" s="4" t="n">
        <f aca="false">ROUND(INDEX(Règles!$C$5:$C$9,MATCH($D237,Règles!$A$5:$A$9,0))*$M237*$J237*Règles!$C$12,0)</f>
        <v>56</v>
      </c>
      <c r="G237" s="4" t="n">
        <f aca="false">ROUND(INDEX(Règles!$C$5:$C$9,MATCH($D237,Règles!$A$5:$A$9,0))*$M237*$K237,0)</f>
        <v>22</v>
      </c>
      <c r="H237" s="4" t="n">
        <f aca="false">ROUND(INDEX(Règles!$C$5:$C$9,MATCH($D237,Règles!$A$5:$A$9,0))*$M237*$L237,0)</f>
        <v>11</v>
      </c>
      <c r="I237" s="28" t="n">
        <f aca="false">F237/Règles!$C$12+G237+H237</f>
        <v>44.2</v>
      </c>
      <c r="J237" s="29" t="n">
        <v>0.255</v>
      </c>
      <c r="K237" s="29" t="n">
        <v>0.493</v>
      </c>
      <c r="L237" s="29" t="n">
        <v>0.252</v>
      </c>
      <c r="M237" s="30" t="n">
        <v>0.98</v>
      </c>
    </row>
    <row r="238" customFormat="false" ht="15" hidden="false" customHeight="true" outlineLevel="0" collapsed="false">
      <c r="A238" s="3" t="n">
        <v>237</v>
      </c>
      <c r="B238" s="4" t="s">
        <v>82</v>
      </c>
      <c r="C238" s="4" t="s">
        <v>9</v>
      </c>
      <c r="D238" s="8" t="s">
        <v>57</v>
      </c>
      <c r="E238" s="4" t="s">
        <v>340</v>
      </c>
      <c r="F238" s="4" t="n">
        <f aca="false">ROUND(INDEX(Règles!$C$5:$C$9,MATCH($D238,Règles!$A$5:$A$9,0))*$M238*$J238*Règles!$C$12,0)</f>
        <v>63</v>
      </c>
      <c r="G238" s="4" t="n">
        <f aca="false">ROUND(INDEX(Règles!$C$5:$C$9,MATCH($D238,Règles!$A$5:$A$9,0))*$M238*$K238,0)</f>
        <v>10</v>
      </c>
      <c r="H238" s="4" t="n">
        <f aca="false">ROUND(INDEX(Règles!$C$5:$C$9,MATCH($D238,Règles!$A$5:$A$9,0))*$M238*$L238,0)</f>
        <v>22</v>
      </c>
      <c r="I238" s="28" t="n">
        <f aca="false">F238/Règles!$C$12+G238+H238</f>
        <v>44.6</v>
      </c>
      <c r="J238" s="29" t="n">
        <v>0.281</v>
      </c>
      <c r="K238" s="29" t="n">
        <v>0.227</v>
      </c>
      <c r="L238" s="29" t="n">
        <v>0.492</v>
      </c>
      <c r="M238" s="30" t="n">
        <v>0.997</v>
      </c>
    </row>
    <row r="239" customFormat="false" ht="15" hidden="false" customHeight="true" outlineLevel="0" collapsed="false">
      <c r="A239" s="3" t="n">
        <v>238</v>
      </c>
      <c r="B239" s="4" t="s">
        <v>87</v>
      </c>
      <c r="C239" s="4" t="s">
        <v>9</v>
      </c>
      <c r="D239" s="8" t="s">
        <v>57</v>
      </c>
      <c r="E239" s="4" t="s">
        <v>341</v>
      </c>
      <c r="F239" s="4" t="n">
        <f aca="false">ROUND(INDEX(Règles!$C$5:$C$9,MATCH($D239,Règles!$A$5:$A$9,0))*$M239*$J239*Règles!$C$12,0)</f>
        <v>127</v>
      </c>
      <c r="G239" s="4" t="n">
        <f aca="false">ROUND(INDEX(Règles!$C$5:$C$9,MATCH($D239,Règles!$A$5:$A$9,0))*$M239*$K239,0)</f>
        <v>11</v>
      </c>
      <c r="H239" s="4" t="n">
        <f aca="false">ROUND(INDEX(Règles!$C$5:$C$9,MATCH($D239,Règles!$A$5:$A$9,0))*$M239*$L239,0)</f>
        <v>10</v>
      </c>
      <c r="I239" s="28" t="n">
        <f aca="false">F239/Règles!$C$12+G239+H239</f>
        <v>46.4</v>
      </c>
      <c r="J239" s="29" t="n">
        <v>0.548</v>
      </c>
      <c r="K239" s="29" t="n">
        <v>0.239</v>
      </c>
      <c r="L239" s="29" t="n">
        <v>0.213</v>
      </c>
      <c r="M239" s="30" t="n">
        <v>1.03</v>
      </c>
    </row>
    <row r="240" customFormat="false" ht="15" hidden="false" customHeight="true" outlineLevel="0" collapsed="false">
      <c r="A240" s="3" t="n">
        <v>239</v>
      </c>
      <c r="B240" s="4" t="s">
        <v>56</v>
      </c>
      <c r="C240" s="4" t="s">
        <v>9</v>
      </c>
      <c r="D240" s="8" t="s">
        <v>57</v>
      </c>
      <c r="E240" s="4" t="s">
        <v>338</v>
      </c>
      <c r="F240" s="4" t="n">
        <f aca="false">ROUND(INDEX(Règles!$C$5:$C$9,MATCH($D240,Règles!$A$5:$A$9,0))*$M240*$J240*Règles!$C$12,0)</f>
        <v>75</v>
      </c>
      <c r="G240" s="4" t="n">
        <f aca="false">ROUND(INDEX(Règles!$C$5:$C$9,MATCH($D240,Règles!$A$5:$A$9,0))*$M240*$K240,0)</f>
        <v>14</v>
      </c>
      <c r="H240" s="4" t="n">
        <f aca="false">ROUND(INDEX(Règles!$C$5:$C$9,MATCH($D240,Règles!$A$5:$A$9,0))*$M240*$L240,0)</f>
        <v>15</v>
      </c>
      <c r="I240" s="28" t="n">
        <f aca="false">F240/Règles!$C$12+G240+H240</f>
        <v>44</v>
      </c>
      <c r="J240" s="29" t="n">
        <v>0.341</v>
      </c>
      <c r="K240" s="29" t="n">
        <v>0.314</v>
      </c>
      <c r="L240" s="29" t="n">
        <v>0.345</v>
      </c>
      <c r="M240" s="30" t="n">
        <v>0.982</v>
      </c>
    </row>
    <row r="241" customFormat="false" ht="15" hidden="false" customHeight="true" outlineLevel="0" collapsed="false">
      <c r="A241" s="3" t="n">
        <v>240</v>
      </c>
      <c r="B241" s="4" t="s">
        <v>100</v>
      </c>
      <c r="C241" s="4" t="s">
        <v>23</v>
      </c>
      <c r="D241" s="8" t="s">
        <v>57</v>
      </c>
      <c r="E241" s="4" t="s">
        <v>339</v>
      </c>
      <c r="F241" s="4" t="n">
        <f aca="false">ROUND(INDEX(Règles!$C$5:$C$9,MATCH($D241,Règles!$A$5:$A$9,0))*$M241*$J241*Règles!$C$12,0)</f>
        <v>54</v>
      </c>
      <c r="G241" s="4" t="n">
        <f aca="false">ROUND(INDEX(Règles!$C$5:$C$9,MATCH($D241,Règles!$A$5:$A$9,0))*$M241*$K241,0)</f>
        <v>23</v>
      </c>
      <c r="H241" s="4" t="n">
        <f aca="false">ROUND(INDEX(Règles!$C$5:$C$9,MATCH($D241,Règles!$A$5:$A$9,0))*$M241*$L241,0)</f>
        <v>12</v>
      </c>
      <c r="I241" s="28" t="n">
        <f aca="false">F241/Règles!$C$12+G241+H241</f>
        <v>45.8</v>
      </c>
      <c r="J241" s="29" t="n">
        <v>0.233</v>
      </c>
      <c r="K241" s="29" t="n">
        <v>0.5</v>
      </c>
      <c r="L241" s="29" t="n">
        <v>0.267</v>
      </c>
      <c r="M241" s="30" t="n">
        <v>1.022</v>
      </c>
    </row>
    <row r="242" customFormat="false" ht="15" hidden="false" customHeight="true" outlineLevel="0" collapsed="false">
      <c r="A242" s="3" t="n">
        <v>241</v>
      </c>
      <c r="B242" s="4" t="s">
        <v>105</v>
      </c>
      <c r="C242" s="4" t="s">
        <v>23</v>
      </c>
      <c r="D242" s="8" t="s">
        <v>57</v>
      </c>
      <c r="E242" s="4" t="s">
        <v>340</v>
      </c>
      <c r="F242" s="4" t="n">
        <f aca="false">ROUND(INDEX(Règles!$C$5:$C$9,MATCH($D242,Règles!$A$5:$A$9,0))*$M242*$J242*Règles!$C$12,0)</f>
        <v>76</v>
      </c>
      <c r="G242" s="4" t="n">
        <f aca="false">ROUND(INDEX(Règles!$C$5:$C$9,MATCH($D242,Règles!$A$5:$A$9,0))*$M242*$K242,0)</f>
        <v>8</v>
      </c>
      <c r="H242" s="4" t="n">
        <f aca="false">ROUND(INDEX(Règles!$C$5:$C$9,MATCH($D242,Règles!$A$5:$A$9,0))*$M242*$L242,0)</f>
        <v>23</v>
      </c>
      <c r="I242" s="28" t="n">
        <f aca="false">F242/Règles!$C$12+G242+H242</f>
        <v>46.2</v>
      </c>
      <c r="J242" s="29" t="n">
        <v>0.33</v>
      </c>
      <c r="K242" s="29" t="n">
        <v>0.176</v>
      </c>
      <c r="L242" s="29" t="n">
        <v>0.494</v>
      </c>
      <c r="M242" s="30" t="n">
        <v>1.027</v>
      </c>
    </row>
    <row r="243" customFormat="false" ht="15" hidden="false" customHeight="true" outlineLevel="0" collapsed="false">
      <c r="A243" s="3" t="n">
        <v>242</v>
      </c>
      <c r="B243" s="4" t="s">
        <v>74</v>
      </c>
      <c r="C243" s="4" t="s">
        <v>9</v>
      </c>
      <c r="D243" s="8" t="s">
        <v>57</v>
      </c>
      <c r="E243" s="4" t="s">
        <v>341</v>
      </c>
      <c r="F243" s="4" t="n">
        <f aca="false">ROUND(INDEX(Règles!$C$5:$C$9,MATCH($D243,Règles!$A$5:$A$9,0))*$M243*$J243*Règles!$C$12,0)</f>
        <v>127</v>
      </c>
      <c r="G243" s="4" t="n">
        <f aca="false">ROUND(INDEX(Règles!$C$5:$C$9,MATCH($D243,Règles!$A$5:$A$9,0))*$M243*$K243,0)</f>
        <v>10</v>
      </c>
      <c r="H243" s="4" t="n">
        <f aca="false">ROUND(INDEX(Règles!$C$5:$C$9,MATCH($D243,Règles!$A$5:$A$9,0))*$M243*$L243,0)</f>
        <v>10</v>
      </c>
      <c r="I243" s="28" t="n">
        <f aca="false">F243/Règles!$C$12+G243+H243</f>
        <v>45.4</v>
      </c>
      <c r="J243" s="29" t="n">
        <v>0.554</v>
      </c>
      <c r="K243" s="29" t="n">
        <v>0.228</v>
      </c>
      <c r="L243" s="29" t="n">
        <v>0.218</v>
      </c>
      <c r="M243" s="30" t="n">
        <v>1.018</v>
      </c>
    </row>
    <row r="244" customFormat="false" ht="15" hidden="false" customHeight="true" outlineLevel="0" collapsed="false">
      <c r="A244" s="3" t="n">
        <v>243</v>
      </c>
      <c r="B244" s="4" t="s">
        <v>62</v>
      </c>
      <c r="C244" s="4" t="s">
        <v>9</v>
      </c>
      <c r="D244" s="8" t="s">
        <v>57</v>
      </c>
      <c r="E244" s="4" t="s">
        <v>338</v>
      </c>
      <c r="F244" s="4" t="n">
        <f aca="false">ROUND(INDEX(Règles!$C$5:$C$9,MATCH($D244,Règles!$A$5:$A$9,0))*$M244*$J244*Règles!$C$12,0)</f>
        <v>75</v>
      </c>
      <c r="G244" s="4" t="n">
        <f aca="false">ROUND(INDEX(Règles!$C$5:$C$9,MATCH($D244,Règles!$A$5:$A$9,0))*$M244*$K244,0)</f>
        <v>16</v>
      </c>
      <c r="H244" s="4" t="n">
        <f aca="false">ROUND(INDEX(Règles!$C$5:$C$9,MATCH($D244,Règles!$A$5:$A$9,0))*$M244*$L244,0)</f>
        <v>15</v>
      </c>
      <c r="I244" s="28" t="n">
        <f aca="false">F244/Règles!$C$12+G244+H244</f>
        <v>46</v>
      </c>
      <c r="J244" s="29" t="n">
        <v>0.326</v>
      </c>
      <c r="K244" s="29" t="n">
        <v>0.342</v>
      </c>
      <c r="L244" s="29" t="n">
        <v>0.332</v>
      </c>
      <c r="M244" s="30" t="n">
        <v>1.028</v>
      </c>
    </row>
    <row r="245" customFormat="false" ht="15" hidden="false" customHeight="true" outlineLevel="0" collapsed="false">
      <c r="A245" s="3" t="n">
        <v>244</v>
      </c>
      <c r="B245" s="4" t="s">
        <v>63</v>
      </c>
      <c r="C245" s="4" t="s">
        <v>9</v>
      </c>
      <c r="D245" s="8" t="s">
        <v>57</v>
      </c>
      <c r="E245" s="4" t="s">
        <v>339</v>
      </c>
      <c r="F245" s="4" t="n">
        <f aca="false">ROUND(INDEX(Règles!$C$5:$C$9,MATCH($D245,Règles!$A$5:$A$9,0))*$M245*$J245*Règles!$C$12,0)</f>
        <v>55</v>
      </c>
      <c r="G245" s="4" t="n">
        <f aca="false">ROUND(INDEX(Règles!$C$5:$C$9,MATCH($D245,Règles!$A$5:$A$9,0))*$M245*$K245,0)</f>
        <v>22</v>
      </c>
      <c r="H245" s="4" t="n">
        <f aca="false">ROUND(INDEX(Règles!$C$5:$C$9,MATCH($D245,Règles!$A$5:$A$9,0))*$M245*$L245,0)</f>
        <v>11</v>
      </c>
      <c r="I245" s="28" t="n">
        <f aca="false">F245/Règles!$C$12+G245+H245</f>
        <v>44</v>
      </c>
      <c r="J245" s="29" t="n">
        <v>0.25</v>
      </c>
      <c r="K245" s="29" t="n">
        <v>0.498</v>
      </c>
      <c r="L245" s="29" t="n">
        <v>0.252</v>
      </c>
      <c r="M245" s="30" t="n">
        <v>0.974</v>
      </c>
    </row>
    <row r="246" customFormat="false" ht="15" hidden="false" customHeight="true" outlineLevel="0" collapsed="false">
      <c r="A246" s="3" t="n">
        <v>245</v>
      </c>
      <c r="B246" s="4" t="s">
        <v>75</v>
      </c>
      <c r="C246" s="4" t="s">
        <v>9</v>
      </c>
      <c r="D246" s="8" t="s">
        <v>57</v>
      </c>
      <c r="E246" s="4" t="s">
        <v>340</v>
      </c>
      <c r="F246" s="4" t="n">
        <f aca="false">ROUND(INDEX(Règles!$C$5:$C$9,MATCH($D246,Règles!$A$5:$A$9,0))*$M246*$J246*Règles!$C$12,0)</f>
        <v>68</v>
      </c>
      <c r="G246" s="4" t="n">
        <f aca="false">ROUND(INDEX(Règles!$C$5:$C$9,MATCH($D246,Règles!$A$5:$A$9,0))*$M246*$K246,0)</f>
        <v>8</v>
      </c>
      <c r="H246" s="4" t="n">
        <f aca="false">ROUND(INDEX(Règles!$C$5:$C$9,MATCH($D246,Règles!$A$5:$A$9,0))*$M246*$L246,0)</f>
        <v>23</v>
      </c>
      <c r="I246" s="28" t="n">
        <f aca="false">F246/Règles!$C$12+G246+H246</f>
        <v>44.6</v>
      </c>
      <c r="J246" s="29" t="n">
        <v>0.305</v>
      </c>
      <c r="K246" s="29" t="n">
        <v>0.178</v>
      </c>
      <c r="L246" s="29" t="n">
        <v>0.517</v>
      </c>
      <c r="M246" s="30" t="n">
        <v>0.986</v>
      </c>
    </row>
    <row r="247" customFormat="false" ht="15" hidden="false" customHeight="true" outlineLevel="0" collapsed="false">
      <c r="A247" s="3" t="n">
        <v>246</v>
      </c>
      <c r="B247" s="4" t="s">
        <v>73</v>
      </c>
      <c r="C247" s="4" t="s">
        <v>9</v>
      </c>
      <c r="D247" s="8" t="s">
        <v>57</v>
      </c>
      <c r="E247" s="4" t="s">
        <v>341</v>
      </c>
      <c r="F247" s="4" t="n">
        <f aca="false">ROUND(INDEX(Règles!$C$5:$C$9,MATCH($D247,Règles!$A$5:$A$9,0))*$M247*$J247*Règles!$C$12,0)</f>
        <v>124</v>
      </c>
      <c r="G247" s="4" t="n">
        <f aca="false">ROUND(INDEX(Règles!$C$5:$C$9,MATCH($D247,Règles!$A$5:$A$9,0))*$M247*$K247,0)</f>
        <v>11</v>
      </c>
      <c r="H247" s="4" t="n">
        <f aca="false">ROUND(INDEX(Règles!$C$5:$C$9,MATCH($D247,Règles!$A$5:$A$9,0))*$M247*$L247,0)</f>
        <v>9</v>
      </c>
      <c r="I247" s="28" t="n">
        <f aca="false">F247/Règles!$C$12+G247+H247</f>
        <v>44.8</v>
      </c>
      <c r="J247" s="29" t="n">
        <v>0.55</v>
      </c>
      <c r="K247" s="29" t="n">
        <v>0.249</v>
      </c>
      <c r="L247" s="29" t="n">
        <v>0.201</v>
      </c>
      <c r="M247" s="30" t="n">
        <v>1.003</v>
      </c>
    </row>
    <row r="248" customFormat="false" ht="15" hidden="false" customHeight="true" outlineLevel="0" collapsed="false">
      <c r="A248" s="3" t="n">
        <v>247</v>
      </c>
      <c r="B248" s="4" t="s">
        <v>59</v>
      </c>
      <c r="C248" s="4" t="s">
        <v>9</v>
      </c>
      <c r="D248" s="8" t="s">
        <v>57</v>
      </c>
      <c r="E248" s="4" t="s">
        <v>338</v>
      </c>
      <c r="F248" s="4" t="n">
        <f aca="false">ROUND(INDEX(Règles!$C$5:$C$9,MATCH($D248,Règles!$A$5:$A$9,0))*$M248*$J248*Règles!$C$12,0)</f>
        <v>72</v>
      </c>
      <c r="G248" s="4" t="n">
        <f aca="false">ROUND(INDEX(Règles!$C$5:$C$9,MATCH($D248,Règles!$A$5:$A$9,0))*$M248*$K248,0)</f>
        <v>16</v>
      </c>
      <c r="H248" s="4" t="n">
        <f aca="false">ROUND(INDEX(Règles!$C$5:$C$9,MATCH($D248,Règles!$A$5:$A$9,0))*$M248*$L248,0)</f>
        <v>16</v>
      </c>
      <c r="I248" s="28" t="n">
        <f aca="false">F248/Règles!$C$12+G248+H248</f>
        <v>46.4</v>
      </c>
      <c r="J248" s="29" t="n">
        <v>0.311</v>
      </c>
      <c r="K248" s="29" t="n">
        <v>0.351</v>
      </c>
      <c r="L248" s="29" t="n">
        <v>0.338</v>
      </c>
      <c r="M248" s="30" t="n">
        <v>1.029</v>
      </c>
    </row>
    <row r="249" customFormat="false" ht="15" hidden="false" customHeight="true" outlineLevel="0" collapsed="false">
      <c r="A249" s="3" t="n">
        <v>248</v>
      </c>
      <c r="B249" s="4" t="s">
        <v>79</v>
      </c>
      <c r="C249" s="4" t="s">
        <v>9</v>
      </c>
      <c r="D249" s="8" t="s">
        <v>57</v>
      </c>
      <c r="E249" s="4" t="s">
        <v>339</v>
      </c>
      <c r="F249" s="4" t="n">
        <f aca="false">ROUND(INDEX(Règles!$C$5:$C$9,MATCH($D249,Règles!$A$5:$A$9,0))*$M249*$J249*Règles!$C$12,0)</f>
        <v>52</v>
      </c>
      <c r="G249" s="4" t="n">
        <f aca="false">ROUND(INDEX(Règles!$C$5:$C$9,MATCH($D249,Règles!$A$5:$A$9,0))*$M249*$K249,0)</f>
        <v>22</v>
      </c>
      <c r="H249" s="4" t="n">
        <f aca="false">ROUND(INDEX(Règles!$C$5:$C$9,MATCH($D249,Règles!$A$5:$A$9,0))*$M249*$L249,0)</f>
        <v>11</v>
      </c>
      <c r="I249" s="28" t="n">
        <f aca="false">F249/Règles!$C$12+G249+H249</f>
        <v>43.4</v>
      </c>
      <c r="J249" s="29" t="n">
        <v>0.237</v>
      </c>
      <c r="K249" s="29" t="n">
        <v>0.511</v>
      </c>
      <c r="L249" s="29" t="n">
        <v>0.252</v>
      </c>
      <c r="M249" s="30" t="n">
        <v>0.976</v>
      </c>
    </row>
    <row r="250" customFormat="false" ht="15" hidden="false" customHeight="true" outlineLevel="0" collapsed="false">
      <c r="A250" s="3" t="n">
        <v>249</v>
      </c>
      <c r="B250" s="4" t="s">
        <v>93</v>
      </c>
      <c r="C250" s="4" t="s">
        <v>23</v>
      </c>
      <c r="D250" s="8" t="s">
        <v>57</v>
      </c>
      <c r="E250" s="4" t="s">
        <v>340</v>
      </c>
      <c r="F250" s="4" t="n">
        <f aca="false">ROUND(INDEX(Règles!$C$5:$C$9,MATCH($D250,Règles!$A$5:$A$9,0))*$M250*$J250*Règles!$C$12,0)</f>
        <v>62</v>
      </c>
      <c r="G250" s="4" t="n">
        <f aca="false">ROUND(INDEX(Règles!$C$5:$C$9,MATCH($D250,Règles!$A$5:$A$9,0))*$M250*$K250,0)</f>
        <v>8</v>
      </c>
      <c r="H250" s="4" t="n">
        <f aca="false">ROUND(INDEX(Règles!$C$5:$C$9,MATCH($D250,Règles!$A$5:$A$9,0))*$M250*$L250,0)</f>
        <v>23</v>
      </c>
      <c r="I250" s="28" t="n">
        <f aca="false">F250/Règles!$C$12+G250+H250</f>
        <v>43.4</v>
      </c>
      <c r="J250" s="29" t="n">
        <v>0.285</v>
      </c>
      <c r="K250" s="29" t="n">
        <v>0.188</v>
      </c>
      <c r="L250" s="29" t="n">
        <v>0.527</v>
      </c>
      <c r="M250" s="30" t="n">
        <v>0.972</v>
      </c>
    </row>
    <row r="251" customFormat="false" ht="15" hidden="false" customHeight="true" outlineLevel="0" collapsed="false">
      <c r="A251" s="3" t="n">
        <v>250</v>
      </c>
      <c r="B251" s="4" t="s">
        <v>106</v>
      </c>
      <c r="C251" s="4" t="s">
        <v>23</v>
      </c>
      <c r="D251" s="8" t="s">
        <v>57</v>
      </c>
      <c r="E251" s="4" t="s">
        <v>341</v>
      </c>
      <c r="F251" s="4" t="n">
        <f aca="false">ROUND(INDEX(Règles!$C$5:$C$9,MATCH($D251,Règles!$A$5:$A$9,0))*$M251*$J251*Règles!$C$12,0)</f>
        <v>131</v>
      </c>
      <c r="G251" s="4" t="n">
        <f aca="false">ROUND(INDEX(Règles!$C$5:$C$9,MATCH($D251,Règles!$A$5:$A$9,0))*$M251*$K251,0)</f>
        <v>11</v>
      </c>
      <c r="H251" s="4" t="n">
        <f aca="false">ROUND(INDEX(Règles!$C$5:$C$9,MATCH($D251,Règles!$A$5:$A$9,0))*$M251*$L251,0)</f>
        <v>9</v>
      </c>
      <c r="I251" s="28" t="n">
        <f aca="false">F251/Règles!$C$12+G251+H251</f>
        <v>46.2</v>
      </c>
      <c r="J251" s="29" t="n">
        <v>0.572</v>
      </c>
      <c r="K251" s="29" t="n">
        <v>0.237</v>
      </c>
      <c r="L251" s="29" t="n">
        <v>0.191</v>
      </c>
      <c r="M251" s="30" t="n">
        <v>1.021</v>
      </c>
    </row>
    <row r="252" customFormat="false" ht="15" hidden="false" customHeight="true" outlineLevel="0" collapsed="false">
      <c r="A252" s="3" t="n">
        <v>251</v>
      </c>
      <c r="B252" s="4" t="s">
        <v>95</v>
      </c>
      <c r="C252" s="4" t="s">
        <v>23</v>
      </c>
      <c r="D252" s="8" t="s">
        <v>57</v>
      </c>
      <c r="E252" s="4" t="s">
        <v>338</v>
      </c>
      <c r="F252" s="4" t="n">
        <f aca="false">ROUND(INDEX(Règles!$C$5:$C$9,MATCH($D252,Règles!$A$5:$A$9,0))*$M252*$J252*Règles!$C$12,0)</f>
        <v>71</v>
      </c>
      <c r="G252" s="4" t="n">
        <f aca="false">ROUND(INDEX(Règles!$C$5:$C$9,MATCH($D252,Règles!$A$5:$A$9,0))*$M252*$K252,0)</f>
        <v>16</v>
      </c>
      <c r="H252" s="4" t="n">
        <f aca="false">ROUND(INDEX(Règles!$C$5:$C$9,MATCH($D252,Règles!$A$5:$A$9,0))*$M252*$L252,0)</f>
        <v>14</v>
      </c>
      <c r="I252" s="28" t="n">
        <f aca="false">F252/Règles!$C$12+G252+H252</f>
        <v>44.2</v>
      </c>
      <c r="J252" s="29" t="n">
        <v>0.318</v>
      </c>
      <c r="K252" s="29" t="n">
        <v>0.368</v>
      </c>
      <c r="L252" s="29" t="n">
        <v>0.314</v>
      </c>
      <c r="M252" s="30" t="n">
        <v>0.986</v>
      </c>
    </row>
    <row r="253" customFormat="false" ht="15" hidden="false" customHeight="true" outlineLevel="0" collapsed="false">
      <c r="A253" s="3" t="n">
        <v>252</v>
      </c>
      <c r="B253" s="4" t="s">
        <v>80</v>
      </c>
      <c r="C253" s="4" t="s">
        <v>9</v>
      </c>
      <c r="D253" s="8" t="s">
        <v>57</v>
      </c>
      <c r="E253" s="4" t="s">
        <v>339</v>
      </c>
      <c r="F253" s="4" t="n">
        <f aca="false">ROUND(INDEX(Règles!$C$5:$C$9,MATCH($D253,Règles!$A$5:$A$9,0))*$M253*$J253*Règles!$C$12,0)</f>
        <v>59</v>
      </c>
      <c r="G253" s="4" t="n">
        <f aca="false">ROUND(INDEX(Règles!$C$5:$C$9,MATCH($D253,Règles!$A$5:$A$9,0))*$M253*$K253,0)</f>
        <v>22</v>
      </c>
      <c r="H253" s="4" t="n">
        <f aca="false">ROUND(INDEX(Règles!$C$5:$C$9,MATCH($D253,Règles!$A$5:$A$9,0))*$M253*$L253,0)</f>
        <v>10</v>
      </c>
      <c r="I253" s="28" t="n">
        <f aca="false">F253/Règles!$C$12+G253+H253</f>
        <v>43.8</v>
      </c>
      <c r="J253" s="29" t="n">
        <v>0.27</v>
      </c>
      <c r="K253" s="29" t="n">
        <v>0.499</v>
      </c>
      <c r="L253" s="29" t="n">
        <v>0.231</v>
      </c>
      <c r="M253" s="30" t="n">
        <v>0.977</v>
      </c>
    </row>
    <row r="254" customFormat="false" ht="15" hidden="false" customHeight="true" outlineLevel="0" collapsed="false">
      <c r="A254" s="3" t="n">
        <v>253</v>
      </c>
      <c r="B254" s="4" t="s">
        <v>97</v>
      </c>
      <c r="C254" s="4" t="s">
        <v>23</v>
      </c>
      <c r="D254" s="8" t="s">
        <v>57</v>
      </c>
      <c r="E254" s="4" t="s">
        <v>340</v>
      </c>
      <c r="F254" s="4" t="n">
        <f aca="false">ROUND(INDEX(Règles!$C$5:$C$9,MATCH($D254,Règles!$A$5:$A$9,0))*$M254*$J254*Règles!$C$12,0)</f>
        <v>68</v>
      </c>
      <c r="G254" s="4" t="n">
        <f aca="false">ROUND(INDEX(Règles!$C$5:$C$9,MATCH($D254,Règles!$A$5:$A$9,0))*$M254*$K254,0)</f>
        <v>8</v>
      </c>
      <c r="H254" s="4" t="n">
        <f aca="false">ROUND(INDEX(Règles!$C$5:$C$9,MATCH($D254,Règles!$A$5:$A$9,0))*$M254*$L254,0)</f>
        <v>22</v>
      </c>
      <c r="I254" s="28" t="n">
        <f aca="false">F254/Règles!$C$12+G254+H254</f>
        <v>43.6</v>
      </c>
      <c r="J254" s="29" t="n">
        <v>0.313</v>
      </c>
      <c r="K254" s="29" t="n">
        <v>0.19</v>
      </c>
      <c r="L254" s="29" t="n">
        <v>0.497</v>
      </c>
      <c r="M254" s="30" t="n">
        <v>0.971</v>
      </c>
    </row>
    <row r="255" customFormat="false" ht="15" hidden="false" customHeight="true" outlineLevel="0" collapsed="false">
      <c r="A255" s="3" t="n">
        <v>254</v>
      </c>
      <c r="B255" s="4" t="s">
        <v>86</v>
      </c>
      <c r="C255" s="4" t="s">
        <v>9</v>
      </c>
      <c r="D255" s="8" t="s">
        <v>57</v>
      </c>
      <c r="E255" s="4" t="s">
        <v>341</v>
      </c>
      <c r="F255" s="4" t="n">
        <f aca="false">ROUND(INDEX(Règles!$C$5:$C$9,MATCH($D255,Règles!$A$5:$A$9,0))*$M255*$J255*Règles!$C$12,0)</f>
        <v>118</v>
      </c>
      <c r="G255" s="4" t="n">
        <f aca="false">ROUND(INDEX(Règles!$C$5:$C$9,MATCH($D255,Règles!$A$5:$A$9,0))*$M255*$K255,0)</f>
        <v>11</v>
      </c>
      <c r="H255" s="4" t="n">
        <f aca="false">ROUND(INDEX(Règles!$C$5:$C$9,MATCH($D255,Règles!$A$5:$A$9,0))*$M255*$L255,0)</f>
        <v>10</v>
      </c>
      <c r="I255" s="28" t="n">
        <f aca="false">F255/Règles!$C$12+G255+H255</f>
        <v>44.6</v>
      </c>
      <c r="J255" s="29" t="n">
        <v>0.526</v>
      </c>
      <c r="K255" s="29" t="n">
        <v>0.256</v>
      </c>
      <c r="L255" s="29" t="n">
        <v>0.218</v>
      </c>
      <c r="M255" s="30" t="n">
        <v>0.994</v>
      </c>
    </row>
    <row r="256" customFormat="false" ht="15" hidden="false" customHeight="true" outlineLevel="0" collapsed="false">
      <c r="A256" s="3" t="n">
        <v>255</v>
      </c>
      <c r="B256" s="4" t="s">
        <v>89</v>
      </c>
      <c r="C256" s="4" t="s">
        <v>9</v>
      </c>
      <c r="D256" s="8" t="s">
        <v>57</v>
      </c>
      <c r="E256" s="4" t="s">
        <v>338</v>
      </c>
      <c r="F256" s="4" t="n">
        <f aca="false">ROUND(INDEX(Règles!$C$5:$C$9,MATCH($D256,Règles!$A$5:$A$9,0))*$M256*$J256*Règles!$C$12,0)</f>
        <v>75</v>
      </c>
      <c r="G256" s="4" t="n">
        <f aca="false">ROUND(INDEX(Règles!$C$5:$C$9,MATCH($D256,Règles!$A$5:$A$9,0))*$M256*$K256,0)</f>
        <v>15</v>
      </c>
      <c r="H256" s="4" t="n">
        <f aca="false">ROUND(INDEX(Règles!$C$5:$C$9,MATCH($D256,Règles!$A$5:$A$9,0))*$M256*$L256,0)</f>
        <v>14</v>
      </c>
      <c r="I256" s="28" t="n">
        <f aca="false">F256/Règles!$C$12+G256+H256</f>
        <v>44</v>
      </c>
      <c r="J256" s="29" t="n">
        <v>0.341</v>
      </c>
      <c r="K256" s="29" t="n">
        <v>0.343</v>
      </c>
      <c r="L256" s="29" t="n">
        <v>0.316</v>
      </c>
      <c r="M256" s="30" t="n">
        <v>0.978</v>
      </c>
    </row>
    <row r="257" customFormat="false" ht="15" hidden="false" customHeight="true" outlineLevel="0" collapsed="false">
      <c r="A257" s="3" t="n">
        <v>256</v>
      </c>
      <c r="B257" s="4" t="s">
        <v>85</v>
      </c>
      <c r="C257" s="4" t="s">
        <v>9</v>
      </c>
      <c r="D257" s="8" t="s">
        <v>57</v>
      </c>
      <c r="E257" s="4" t="s">
        <v>339</v>
      </c>
      <c r="F257" s="4" t="n">
        <f aca="false">ROUND(INDEX(Règles!$C$5:$C$9,MATCH($D257,Règles!$A$5:$A$9,0))*$M257*$J257*Règles!$C$12,0)</f>
        <v>54</v>
      </c>
      <c r="G257" s="4" t="n">
        <f aca="false">ROUND(INDEX(Règles!$C$5:$C$9,MATCH($D257,Règles!$A$5:$A$9,0))*$M257*$K257,0)</f>
        <v>24</v>
      </c>
      <c r="H257" s="4" t="n">
        <f aca="false">ROUND(INDEX(Règles!$C$5:$C$9,MATCH($D257,Règles!$A$5:$A$9,0))*$M257*$L257,0)</f>
        <v>11</v>
      </c>
      <c r="I257" s="28" t="n">
        <f aca="false">F257/Règles!$C$12+G257+H257</f>
        <v>45.8</v>
      </c>
      <c r="J257" s="29" t="n">
        <v>0.234</v>
      </c>
      <c r="K257" s="29" t="n">
        <v>0.528</v>
      </c>
      <c r="L257" s="29" t="n">
        <v>0.238</v>
      </c>
      <c r="M257" s="30" t="n">
        <v>1.026</v>
      </c>
    </row>
    <row r="258" customFormat="false" ht="15" hidden="false" customHeight="true" outlineLevel="0" collapsed="false">
      <c r="A258" s="3" t="n">
        <v>257</v>
      </c>
      <c r="B258" s="4" t="s">
        <v>71</v>
      </c>
      <c r="C258" s="4" t="s">
        <v>9</v>
      </c>
      <c r="D258" s="8" t="s">
        <v>57</v>
      </c>
      <c r="E258" s="4" t="s">
        <v>340</v>
      </c>
      <c r="F258" s="4" t="n">
        <f aca="false">ROUND(INDEX(Règles!$C$5:$C$9,MATCH($D258,Règles!$A$5:$A$9,0))*$M258*$J258*Règles!$C$12,0)</f>
        <v>67</v>
      </c>
      <c r="G258" s="4" t="n">
        <f aca="false">ROUND(INDEX(Règles!$C$5:$C$9,MATCH($D258,Règles!$A$5:$A$9,0))*$M258*$K258,0)</f>
        <v>9</v>
      </c>
      <c r="H258" s="4" t="n">
        <f aca="false">ROUND(INDEX(Règles!$C$5:$C$9,MATCH($D258,Règles!$A$5:$A$9,0))*$M258*$L258,0)</f>
        <v>23</v>
      </c>
      <c r="I258" s="28" t="n">
        <f aca="false">F258/Règles!$C$12+G258+H258</f>
        <v>45.4</v>
      </c>
      <c r="J258" s="29" t="n">
        <v>0.296</v>
      </c>
      <c r="K258" s="29" t="n">
        <v>0.207</v>
      </c>
      <c r="L258" s="29" t="n">
        <v>0.497</v>
      </c>
      <c r="M258" s="30" t="n">
        <v>1.012</v>
      </c>
    </row>
    <row r="259" customFormat="false" ht="15" hidden="false" customHeight="true" outlineLevel="0" collapsed="false">
      <c r="A259" s="3" t="n">
        <v>258</v>
      </c>
      <c r="B259" s="4" t="s">
        <v>104</v>
      </c>
      <c r="C259" s="4" t="s">
        <v>23</v>
      </c>
      <c r="D259" s="8" t="s">
        <v>57</v>
      </c>
      <c r="E259" s="4" t="s">
        <v>341</v>
      </c>
      <c r="F259" s="4" t="n">
        <f aca="false">ROUND(INDEX(Règles!$C$5:$C$9,MATCH($D259,Règles!$A$5:$A$9,0))*$M259*$J259*Règles!$C$12,0)</f>
        <v>117</v>
      </c>
      <c r="G259" s="4" t="n">
        <f aca="false">ROUND(INDEX(Règles!$C$5:$C$9,MATCH($D259,Règles!$A$5:$A$9,0))*$M259*$K259,0)</f>
        <v>12</v>
      </c>
      <c r="H259" s="4" t="n">
        <f aca="false">ROUND(INDEX(Règles!$C$5:$C$9,MATCH($D259,Règles!$A$5:$A$9,0))*$M259*$L259,0)</f>
        <v>10</v>
      </c>
      <c r="I259" s="28" t="n">
        <f aca="false">F259/Règles!$C$12+G259+H259</f>
        <v>45.4</v>
      </c>
      <c r="J259" s="29" t="n">
        <v>0.519</v>
      </c>
      <c r="K259" s="29" t="n">
        <v>0.261</v>
      </c>
      <c r="L259" s="29" t="n">
        <v>0.22</v>
      </c>
      <c r="M259" s="30" t="n">
        <v>1.002</v>
      </c>
    </row>
    <row r="260" customFormat="false" ht="15" hidden="false" customHeight="true" outlineLevel="0" collapsed="false">
      <c r="A260" s="3" t="n">
        <v>259</v>
      </c>
      <c r="B260" s="4" t="s">
        <v>90</v>
      </c>
      <c r="C260" s="4" t="s">
        <v>9</v>
      </c>
      <c r="D260" s="8" t="s">
        <v>57</v>
      </c>
      <c r="E260" s="4" t="s">
        <v>338</v>
      </c>
      <c r="F260" s="4" t="n">
        <f aca="false">ROUND(INDEX(Règles!$C$5:$C$9,MATCH($D260,Règles!$A$5:$A$9,0))*$M260*$J260*Règles!$C$12,0)</f>
        <v>77</v>
      </c>
      <c r="G260" s="4" t="n">
        <f aca="false">ROUND(INDEX(Règles!$C$5:$C$9,MATCH($D260,Règles!$A$5:$A$9,0))*$M260*$K260,0)</f>
        <v>14</v>
      </c>
      <c r="H260" s="4" t="n">
        <f aca="false">ROUND(INDEX(Règles!$C$5:$C$9,MATCH($D260,Règles!$A$5:$A$9,0))*$M260*$L260,0)</f>
        <v>16</v>
      </c>
      <c r="I260" s="28" t="n">
        <f aca="false">F260/Règles!$C$12+G260+H260</f>
        <v>45.4</v>
      </c>
      <c r="J260" s="29" t="n">
        <v>0.344</v>
      </c>
      <c r="K260" s="29" t="n">
        <v>0.307</v>
      </c>
      <c r="L260" s="29" t="n">
        <v>0.349</v>
      </c>
      <c r="M260" s="30" t="n">
        <v>0.992</v>
      </c>
    </row>
    <row r="261" customFormat="false" ht="15" hidden="false" customHeight="true" outlineLevel="0" collapsed="false">
      <c r="A261" s="3" t="n">
        <v>260</v>
      </c>
      <c r="B261" s="4" t="s">
        <v>69</v>
      </c>
      <c r="C261" s="4" t="s">
        <v>9</v>
      </c>
      <c r="D261" s="8" t="s">
        <v>57</v>
      </c>
      <c r="E261" s="4" t="s">
        <v>339</v>
      </c>
      <c r="F261" s="4" t="n">
        <f aca="false">ROUND(INDEX(Règles!$C$5:$C$9,MATCH($D261,Règles!$A$5:$A$9,0))*$M261*$J261*Règles!$C$12,0)</f>
        <v>62</v>
      </c>
      <c r="G261" s="4" t="n">
        <f aca="false">ROUND(INDEX(Règles!$C$5:$C$9,MATCH($D261,Règles!$A$5:$A$9,0))*$M261*$K261,0)</f>
        <v>22</v>
      </c>
      <c r="H261" s="4" t="n">
        <f aca="false">ROUND(INDEX(Règles!$C$5:$C$9,MATCH($D261,Règles!$A$5:$A$9,0))*$M261*$L261,0)</f>
        <v>11</v>
      </c>
      <c r="I261" s="28" t="n">
        <f aca="false">F261/Règles!$C$12+G261+H261</f>
        <v>45.4</v>
      </c>
      <c r="J261" s="29" t="n">
        <v>0.273</v>
      </c>
      <c r="K261" s="29" t="n">
        <v>0.485</v>
      </c>
      <c r="L261" s="29" t="n">
        <v>0.242</v>
      </c>
      <c r="M261" s="30" t="n">
        <v>1.011</v>
      </c>
    </row>
    <row r="262" customFormat="false" ht="15" hidden="false" customHeight="true" outlineLevel="0" collapsed="false">
      <c r="A262" s="3" t="n">
        <v>261</v>
      </c>
      <c r="B262" s="4" t="s">
        <v>46</v>
      </c>
      <c r="C262" s="4" t="s">
        <v>23</v>
      </c>
      <c r="D262" s="7" t="s">
        <v>28</v>
      </c>
      <c r="E262" s="4" t="s">
        <v>338</v>
      </c>
      <c r="F262" s="4" t="n">
        <f aca="false">ROUND(INDEX(Règles!$C$5:$C$9,MATCH($D262,Règles!$A$5:$A$9,0))*$M262*$J262*Règles!$C$12,0)</f>
        <v>97</v>
      </c>
      <c r="G262" s="4" t="n">
        <f aca="false">ROUND(INDEX(Règles!$C$5:$C$9,MATCH($D262,Règles!$A$5:$A$9,0))*$M262*$K262,0)</f>
        <v>18</v>
      </c>
      <c r="H262" s="4" t="n">
        <f aca="false">ROUND(INDEX(Règles!$C$5:$C$9,MATCH($D262,Règles!$A$5:$A$9,0))*$M262*$L262,0)</f>
        <v>18</v>
      </c>
      <c r="I262" s="28" t="n">
        <f aca="false">F262/Règles!$C$12+G262+H262</f>
        <v>55.4</v>
      </c>
      <c r="J262" s="29" t="n">
        <v>0.354</v>
      </c>
      <c r="K262" s="29" t="n">
        <v>0.325</v>
      </c>
      <c r="L262" s="29" t="n">
        <v>0.321</v>
      </c>
      <c r="M262" s="30" t="n">
        <v>0.994</v>
      </c>
    </row>
    <row r="263" customFormat="false" ht="15" hidden="false" customHeight="true" outlineLevel="0" collapsed="false">
      <c r="A263" s="3" t="n">
        <v>262</v>
      </c>
      <c r="B263" s="4" t="s">
        <v>47</v>
      </c>
      <c r="C263" s="4" t="s">
        <v>23</v>
      </c>
      <c r="D263" s="7" t="s">
        <v>28</v>
      </c>
      <c r="E263" s="4" t="s">
        <v>339</v>
      </c>
      <c r="F263" s="4" t="n">
        <f aca="false">ROUND(INDEX(Règles!$C$5:$C$9,MATCH($D263,Règles!$A$5:$A$9,0))*$M263*$J263*Règles!$C$12,0)</f>
        <v>76</v>
      </c>
      <c r="G263" s="4" t="n">
        <f aca="false">ROUND(INDEX(Règles!$C$5:$C$9,MATCH($D263,Règles!$A$5:$A$9,0))*$M263*$K263,0)</f>
        <v>26</v>
      </c>
      <c r="H263" s="4" t="n">
        <f aca="false">ROUND(INDEX(Règles!$C$5:$C$9,MATCH($D263,Règles!$A$5:$A$9,0))*$M263*$L263,0)</f>
        <v>13</v>
      </c>
      <c r="I263" s="28" t="n">
        <f aca="false">F263/Règles!$C$12+G263+H263</f>
        <v>54.2</v>
      </c>
      <c r="J263" s="29" t="n">
        <v>0.279</v>
      </c>
      <c r="K263" s="29" t="n">
        <v>0.474</v>
      </c>
      <c r="L263" s="29" t="n">
        <v>0.247</v>
      </c>
      <c r="M263" s="30" t="n">
        <v>0.99</v>
      </c>
    </row>
    <row r="264" customFormat="false" ht="15" hidden="false" customHeight="true" outlineLevel="0" collapsed="false">
      <c r="A264" s="3" t="n">
        <v>263</v>
      </c>
      <c r="B264" s="4" t="s">
        <v>29</v>
      </c>
      <c r="C264" s="4" t="s">
        <v>9</v>
      </c>
      <c r="D264" s="7" t="s">
        <v>28</v>
      </c>
      <c r="E264" s="4" t="s">
        <v>340</v>
      </c>
      <c r="F264" s="4" t="n">
        <f aca="false">ROUND(INDEX(Règles!$C$5:$C$9,MATCH($D264,Règles!$A$5:$A$9,0))*$M264*$J264*Règles!$C$12,0)</f>
        <v>83</v>
      </c>
      <c r="G264" s="4" t="n">
        <f aca="false">ROUND(INDEX(Règles!$C$5:$C$9,MATCH($D264,Règles!$A$5:$A$9,0))*$M264*$K264,0)</f>
        <v>11</v>
      </c>
      <c r="H264" s="4" t="n">
        <f aca="false">ROUND(INDEX(Règles!$C$5:$C$9,MATCH($D264,Règles!$A$5:$A$9,0))*$M264*$L264,0)</f>
        <v>28</v>
      </c>
      <c r="I264" s="28" t="n">
        <f aca="false">F264/Règles!$C$12+G264+H264</f>
        <v>55.6</v>
      </c>
      <c r="J264" s="29" t="n">
        <v>0.301</v>
      </c>
      <c r="K264" s="29" t="n">
        <v>0.193</v>
      </c>
      <c r="L264" s="29" t="n">
        <v>0.506</v>
      </c>
      <c r="M264" s="30" t="n">
        <v>0.998</v>
      </c>
    </row>
    <row r="265" customFormat="false" ht="15" hidden="false" customHeight="true" outlineLevel="0" collapsed="false">
      <c r="A265" s="3" t="n">
        <v>264</v>
      </c>
      <c r="B265" s="4" t="s">
        <v>54</v>
      </c>
      <c r="C265" s="4" t="s">
        <v>23</v>
      </c>
      <c r="D265" s="7" t="s">
        <v>28</v>
      </c>
      <c r="E265" s="4" t="s">
        <v>341</v>
      </c>
      <c r="F265" s="4" t="n">
        <f aca="false">ROUND(INDEX(Règles!$C$5:$C$9,MATCH($D265,Règles!$A$5:$A$9,0))*$M265*$J265*Règles!$C$12,0)</f>
        <v>155</v>
      </c>
      <c r="G265" s="4" t="n">
        <f aca="false">ROUND(INDEX(Règles!$C$5:$C$9,MATCH($D265,Règles!$A$5:$A$9,0))*$M265*$K265,0)</f>
        <v>14</v>
      </c>
      <c r="H265" s="4" t="n">
        <f aca="false">ROUND(INDEX(Règles!$C$5:$C$9,MATCH($D265,Règles!$A$5:$A$9,0))*$M265*$L265,0)</f>
        <v>10</v>
      </c>
      <c r="I265" s="28" t="n">
        <f aca="false">F265/Règles!$C$12+G265+H265</f>
        <v>55</v>
      </c>
      <c r="J265" s="29" t="n">
        <v>0.563</v>
      </c>
      <c r="K265" s="29" t="n">
        <v>0.258</v>
      </c>
      <c r="L265" s="29" t="n">
        <v>0.179</v>
      </c>
      <c r="M265" s="30" t="n">
        <v>1.003</v>
      </c>
    </row>
    <row r="266" customFormat="false" ht="15" hidden="false" customHeight="true" outlineLevel="0" collapsed="false">
      <c r="A266" s="3" t="n">
        <v>265</v>
      </c>
      <c r="B266" s="4" t="s">
        <v>33</v>
      </c>
      <c r="C266" s="4" t="s">
        <v>9</v>
      </c>
      <c r="D266" s="7" t="s">
        <v>28</v>
      </c>
      <c r="E266" s="4" t="s">
        <v>338</v>
      </c>
      <c r="F266" s="4" t="n">
        <f aca="false">ROUND(INDEX(Règles!$C$5:$C$9,MATCH($D266,Règles!$A$5:$A$9,0))*$M266*$J266*Règles!$C$12,0)</f>
        <v>97</v>
      </c>
      <c r="G266" s="4" t="n">
        <f aca="false">ROUND(INDEX(Règles!$C$5:$C$9,MATCH($D266,Règles!$A$5:$A$9,0))*$M266*$K266,0)</f>
        <v>18</v>
      </c>
      <c r="H266" s="4" t="n">
        <f aca="false">ROUND(INDEX(Règles!$C$5:$C$9,MATCH($D266,Règles!$A$5:$A$9,0))*$M266*$L266,0)</f>
        <v>19</v>
      </c>
      <c r="I266" s="28" t="n">
        <f aca="false">F266/Règles!$C$12+G266+H266</f>
        <v>56.4</v>
      </c>
      <c r="J266" s="29" t="n">
        <v>0.345</v>
      </c>
      <c r="K266" s="29" t="n">
        <v>0.312</v>
      </c>
      <c r="L266" s="29" t="n">
        <v>0.343</v>
      </c>
      <c r="M266" s="30" t="n">
        <v>1.025</v>
      </c>
    </row>
    <row r="267" customFormat="false" ht="15" hidden="false" customHeight="true" outlineLevel="0" collapsed="false">
      <c r="A267" s="3" t="n">
        <v>266</v>
      </c>
      <c r="B267" s="4" t="s">
        <v>34</v>
      </c>
      <c r="C267" s="4" t="s">
        <v>9</v>
      </c>
      <c r="D267" s="7" t="s">
        <v>28</v>
      </c>
      <c r="E267" s="4" t="s">
        <v>339</v>
      </c>
      <c r="F267" s="4" t="n">
        <f aca="false">ROUND(INDEX(Règles!$C$5:$C$9,MATCH($D267,Règles!$A$5:$A$9,0))*$M267*$J267*Règles!$C$12,0)</f>
        <v>69</v>
      </c>
      <c r="G267" s="4" t="n">
        <f aca="false">ROUND(INDEX(Règles!$C$5:$C$9,MATCH($D267,Règles!$A$5:$A$9,0))*$M267*$K267,0)</f>
        <v>28</v>
      </c>
      <c r="H267" s="4" t="n">
        <f aca="false">ROUND(INDEX(Règles!$C$5:$C$9,MATCH($D267,Règles!$A$5:$A$9,0))*$M267*$L267,0)</f>
        <v>14</v>
      </c>
      <c r="I267" s="28" t="n">
        <f aca="false">F267/Règles!$C$12+G267+H267</f>
        <v>55.8</v>
      </c>
      <c r="J267" s="29" t="n">
        <v>0.251</v>
      </c>
      <c r="K267" s="29" t="n">
        <v>0.499</v>
      </c>
      <c r="L267" s="29" t="n">
        <v>0.25</v>
      </c>
      <c r="M267" s="30" t="n">
        <v>1.006</v>
      </c>
    </row>
    <row r="268" customFormat="false" ht="15" hidden="false" customHeight="true" outlineLevel="0" collapsed="false">
      <c r="A268" s="3" t="n">
        <v>267</v>
      </c>
      <c r="B268" s="4" t="s">
        <v>42</v>
      </c>
      <c r="C268" s="4" t="s">
        <v>9</v>
      </c>
      <c r="D268" s="7" t="s">
        <v>28</v>
      </c>
      <c r="E268" s="4" t="s">
        <v>340</v>
      </c>
      <c r="F268" s="4" t="n">
        <f aca="false">ROUND(INDEX(Règles!$C$5:$C$9,MATCH($D268,Règles!$A$5:$A$9,0))*$M268*$J268*Règles!$C$12,0)</f>
        <v>88</v>
      </c>
      <c r="G268" s="4" t="n">
        <f aca="false">ROUND(INDEX(Règles!$C$5:$C$9,MATCH($D268,Règles!$A$5:$A$9,0))*$M268*$K268,0)</f>
        <v>10</v>
      </c>
      <c r="H268" s="4" t="n">
        <f aca="false">ROUND(INDEX(Règles!$C$5:$C$9,MATCH($D268,Règles!$A$5:$A$9,0))*$M268*$L268,0)</f>
        <v>27</v>
      </c>
      <c r="I268" s="28" t="n">
        <f aca="false">F268/Règles!$C$12+G268+H268</f>
        <v>54.6</v>
      </c>
      <c r="J268" s="29" t="n">
        <v>0.326</v>
      </c>
      <c r="K268" s="29" t="n">
        <v>0.177</v>
      </c>
      <c r="L268" s="29" t="n">
        <v>0.497</v>
      </c>
      <c r="M268" s="30" t="n">
        <v>0.981</v>
      </c>
    </row>
    <row r="269" customFormat="false" ht="15" hidden="false" customHeight="true" outlineLevel="0" collapsed="false">
      <c r="A269" s="3" t="n">
        <v>268</v>
      </c>
      <c r="B269" s="4" t="s">
        <v>44</v>
      </c>
      <c r="C269" s="4" t="s">
        <v>9</v>
      </c>
      <c r="D269" s="7" t="s">
        <v>28</v>
      </c>
      <c r="E269" s="4" t="s">
        <v>341</v>
      </c>
      <c r="F269" s="4" t="n">
        <f aca="false">ROUND(INDEX(Règles!$C$5:$C$9,MATCH($D269,Règles!$A$5:$A$9,0))*$M269*$J269*Règles!$C$12,0)</f>
        <v>150</v>
      </c>
      <c r="G269" s="4" t="n">
        <f aca="false">ROUND(INDEX(Règles!$C$5:$C$9,MATCH($D269,Règles!$A$5:$A$9,0))*$M269*$K269,0)</f>
        <v>14</v>
      </c>
      <c r="H269" s="4" t="n">
        <f aca="false">ROUND(INDEX(Règles!$C$5:$C$9,MATCH($D269,Règles!$A$5:$A$9,0))*$M269*$L269,0)</f>
        <v>12</v>
      </c>
      <c r="I269" s="28" t="n">
        <f aca="false">F269/Règles!$C$12+G269+H269</f>
        <v>56</v>
      </c>
      <c r="J269" s="29" t="n">
        <v>0.533</v>
      </c>
      <c r="K269" s="29" t="n">
        <v>0.25</v>
      </c>
      <c r="L269" s="29" t="n">
        <v>0.217</v>
      </c>
      <c r="M269" s="30" t="n">
        <v>1.025</v>
      </c>
    </row>
    <row r="270" customFormat="false" ht="15" hidden="false" customHeight="true" outlineLevel="0" collapsed="false">
      <c r="A270" s="3" t="n">
        <v>269</v>
      </c>
      <c r="B270" s="4" t="s">
        <v>48</v>
      </c>
      <c r="C270" s="4" t="s">
        <v>23</v>
      </c>
      <c r="D270" s="7" t="s">
        <v>28</v>
      </c>
      <c r="E270" s="4" t="s">
        <v>338</v>
      </c>
      <c r="F270" s="4" t="n">
        <f aca="false">ROUND(INDEX(Règles!$C$5:$C$9,MATCH($D270,Règles!$A$5:$A$9,0))*$M270*$J270*Règles!$C$12,0)</f>
        <v>94</v>
      </c>
      <c r="G270" s="4" t="n">
        <f aca="false">ROUND(INDEX(Règles!$C$5:$C$9,MATCH($D270,Règles!$A$5:$A$9,0))*$M270*$K270,0)</f>
        <v>17</v>
      </c>
      <c r="H270" s="4" t="n">
        <f aca="false">ROUND(INDEX(Règles!$C$5:$C$9,MATCH($D270,Règles!$A$5:$A$9,0))*$M270*$L270,0)</f>
        <v>18</v>
      </c>
      <c r="I270" s="28" t="n">
        <f aca="false">F270/Règles!$C$12+G270+H270</f>
        <v>53.8</v>
      </c>
      <c r="J270" s="29" t="n">
        <v>0.351</v>
      </c>
      <c r="K270" s="29" t="n">
        <v>0.316</v>
      </c>
      <c r="L270" s="29" t="n">
        <v>0.333</v>
      </c>
      <c r="M270" s="30" t="n">
        <v>0.97</v>
      </c>
    </row>
    <row r="271" customFormat="false" ht="15" hidden="false" customHeight="true" outlineLevel="0" collapsed="false">
      <c r="A271" s="3" t="n">
        <v>270</v>
      </c>
      <c r="B271" s="4" t="s">
        <v>39</v>
      </c>
      <c r="C271" s="4" t="s">
        <v>9</v>
      </c>
      <c r="D271" s="7" t="s">
        <v>28</v>
      </c>
      <c r="E271" s="4" t="s">
        <v>339</v>
      </c>
      <c r="F271" s="4" t="n">
        <f aca="false">ROUND(INDEX(Règles!$C$5:$C$9,MATCH($D271,Règles!$A$5:$A$9,0))*$M271*$J271*Règles!$C$12,0)</f>
        <v>64</v>
      </c>
      <c r="G271" s="4" t="n">
        <f aca="false">ROUND(INDEX(Règles!$C$5:$C$9,MATCH($D271,Règles!$A$5:$A$9,0))*$M271*$K271,0)</f>
        <v>27</v>
      </c>
      <c r="H271" s="4" t="n">
        <f aca="false">ROUND(INDEX(Règles!$C$5:$C$9,MATCH($D271,Règles!$A$5:$A$9,0))*$M271*$L271,0)</f>
        <v>15</v>
      </c>
      <c r="I271" s="28" t="n">
        <f aca="false">F271/Règles!$C$12+G271+H271</f>
        <v>54.8</v>
      </c>
      <c r="J271" s="29" t="n">
        <v>0.236</v>
      </c>
      <c r="K271" s="29" t="n">
        <v>0.492</v>
      </c>
      <c r="L271" s="29" t="n">
        <v>0.272</v>
      </c>
      <c r="M271" s="30" t="n">
        <v>0.991</v>
      </c>
    </row>
    <row r="272" customFormat="false" ht="15" hidden="false" customHeight="true" outlineLevel="0" collapsed="false">
      <c r="A272" s="3" t="n">
        <v>271</v>
      </c>
      <c r="B272" s="4" t="s">
        <v>51</v>
      </c>
      <c r="C272" s="4" t="s">
        <v>23</v>
      </c>
      <c r="D272" s="7" t="s">
        <v>28</v>
      </c>
      <c r="E272" s="4" t="s">
        <v>340</v>
      </c>
      <c r="F272" s="4" t="n">
        <f aca="false">ROUND(INDEX(Règles!$C$5:$C$9,MATCH($D272,Règles!$A$5:$A$9,0))*$M272*$J272*Règles!$C$12,0)</f>
        <v>85</v>
      </c>
      <c r="G272" s="4" t="n">
        <f aca="false">ROUND(INDEX(Règles!$C$5:$C$9,MATCH($D272,Règles!$A$5:$A$9,0))*$M272*$K272,0)</f>
        <v>11</v>
      </c>
      <c r="H272" s="4" t="n">
        <f aca="false">ROUND(INDEX(Règles!$C$5:$C$9,MATCH($D272,Règles!$A$5:$A$9,0))*$M272*$L272,0)</f>
        <v>27</v>
      </c>
      <c r="I272" s="28" t="n">
        <f aca="false">F272/Règles!$C$12+G272+H272</f>
        <v>55</v>
      </c>
      <c r="J272" s="29" t="n">
        <v>0.308</v>
      </c>
      <c r="K272" s="29" t="n">
        <v>0.197</v>
      </c>
      <c r="L272" s="29" t="n">
        <v>0.495</v>
      </c>
      <c r="M272" s="30" t="n">
        <v>1.004</v>
      </c>
    </row>
    <row r="273" customFormat="false" ht="15" hidden="false" customHeight="true" outlineLevel="0" collapsed="false">
      <c r="A273" s="3" t="n">
        <v>272</v>
      </c>
      <c r="B273" s="4" t="s">
        <v>38</v>
      </c>
      <c r="C273" s="4" t="s">
        <v>9</v>
      </c>
      <c r="D273" s="7" t="s">
        <v>28</v>
      </c>
      <c r="E273" s="4" t="s">
        <v>341</v>
      </c>
      <c r="F273" s="4" t="n">
        <f aca="false">ROUND(INDEX(Règles!$C$5:$C$9,MATCH($D273,Règles!$A$5:$A$9,0))*$M273*$J273*Règles!$C$12,0)</f>
        <v>144</v>
      </c>
      <c r="G273" s="4" t="n">
        <f aca="false">ROUND(INDEX(Règles!$C$5:$C$9,MATCH($D273,Règles!$A$5:$A$9,0))*$M273*$K273,0)</f>
        <v>14</v>
      </c>
      <c r="H273" s="4" t="n">
        <f aca="false">ROUND(INDEX(Règles!$C$5:$C$9,MATCH($D273,Règles!$A$5:$A$9,0))*$M273*$L273,0)</f>
        <v>12</v>
      </c>
      <c r="I273" s="28" t="n">
        <f aca="false">F273/Règles!$C$12+G273+H273</f>
        <v>54.8</v>
      </c>
      <c r="J273" s="29" t="n">
        <v>0.523</v>
      </c>
      <c r="K273" s="29" t="n">
        <v>0.256</v>
      </c>
      <c r="L273" s="29" t="n">
        <v>0.221</v>
      </c>
      <c r="M273" s="30" t="n">
        <v>1.004</v>
      </c>
    </row>
    <row r="274" customFormat="false" ht="15" hidden="false" customHeight="true" outlineLevel="0" collapsed="false">
      <c r="A274" s="3" t="n">
        <v>273</v>
      </c>
      <c r="B274" s="4" t="s">
        <v>36</v>
      </c>
      <c r="C274" s="4" t="s">
        <v>9</v>
      </c>
      <c r="D274" s="7" t="s">
        <v>28</v>
      </c>
      <c r="E274" s="4" t="s">
        <v>338</v>
      </c>
      <c r="F274" s="4" t="n">
        <f aca="false">ROUND(INDEX(Règles!$C$5:$C$9,MATCH($D274,Règles!$A$5:$A$9,0))*$M274*$J274*Règles!$C$12,0)</f>
        <v>91</v>
      </c>
      <c r="G274" s="4" t="n">
        <f aca="false">ROUND(INDEX(Règles!$C$5:$C$9,MATCH($D274,Règles!$A$5:$A$9,0))*$M274*$K274,0)</f>
        <v>18</v>
      </c>
      <c r="H274" s="4" t="n">
        <f aca="false">ROUND(INDEX(Règles!$C$5:$C$9,MATCH($D274,Règles!$A$5:$A$9,0))*$M274*$L274,0)</f>
        <v>19</v>
      </c>
      <c r="I274" s="28" t="n">
        <f aca="false">F274/Règles!$C$12+G274+H274</f>
        <v>55.2</v>
      </c>
      <c r="J274" s="29" t="n">
        <v>0.332</v>
      </c>
      <c r="K274" s="29" t="n">
        <v>0.322</v>
      </c>
      <c r="L274" s="29" t="n">
        <v>0.346</v>
      </c>
      <c r="M274" s="30" t="n">
        <v>1.002</v>
      </c>
    </row>
    <row r="275" customFormat="false" ht="15" hidden="false" customHeight="true" outlineLevel="0" collapsed="false">
      <c r="A275" s="3" t="n">
        <v>274</v>
      </c>
      <c r="B275" s="4" t="s">
        <v>30</v>
      </c>
      <c r="C275" s="4" t="s">
        <v>9</v>
      </c>
      <c r="D275" s="7" t="s">
        <v>28</v>
      </c>
      <c r="E275" s="4" t="s">
        <v>339</v>
      </c>
      <c r="F275" s="4" t="n">
        <f aca="false">ROUND(INDEX(Règles!$C$5:$C$9,MATCH($D275,Règles!$A$5:$A$9,0))*$M275*$J275*Règles!$C$12,0)</f>
        <v>70</v>
      </c>
      <c r="G275" s="4" t="n">
        <f aca="false">ROUND(INDEX(Règles!$C$5:$C$9,MATCH($D275,Règles!$A$5:$A$9,0))*$M275*$K275,0)</f>
        <v>29</v>
      </c>
      <c r="H275" s="4" t="n">
        <f aca="false">ROUND(INDEX(Règles!$C$5:$C$9,MATCH($D275,Règles!$A$5:$A$9,0))*$M275*$L275,0)</f>
        <v>13</v>
      </c>
      <c r="I275" s="28" t="n">
        <f aca="false">F275/Règles!$C$12+G275+H275</f>
        <v>56</v>
      </c>
      <c r="J275" s="29" t="n">
        <v>0.25</v>
      </c>
      <c r="K275" s="29" t="n">
        <v>0.512</v>
      </c>
      <c r="L275" s="29" t="n">
        <v>0.238</v>
      </c>
      <c r="M275" s="30" t="n">
        <v>1.025</v>
      </c>
    </row>
    <row r="276" customFormat="false" ht="15" hidden="false" customHeight="true" outlineLevel="0" collapsed="false">
      <c r="A276" s="3" t="n">
        <v>275</v>
      </c>
      <c r="B276" s="4" t="s">
        <v>27</v>
      </c>
      <c r="C276" s="4" t="s">
        <v>9</v>
      </c>
      <c r="D276" s="7" t="s">
        <v>28</v>
      </c>
      <c r="E276" s="4" t="s">
        <v>340</v>
      </c>
      <c r="F276" s="4" t="n">
        <f aca="false">ROUND(INDEX(Règles!$C$5:$C$9,MATCH($D276,Règles!$A$5:$A$9,0))*$M276*$J276*Règles!$C$12,0)</f>
        <v>84</v>
      </c>
      <c r="G276" s="4" t="n">
        <f aca="false">ROUND(INDEX(Règles!$C$5:$C$9,MATCH($D276,Règles!$A$5:$A$9,0))*$M276*$K276,0)</f>
        <v>11</v>
      </c>
      <c r="H276" s="4" t="n">
        <f aca="false">ROUND(INDEX(Règles!$C$5:$C$9,MATCH($D276,Règles!$A$5:$A$9,0))*$M276*$L276,0)</f>
        <v>26</v>
      </c>
      <c r="I276" s="28" t="n">
        <f aca="false">F276/Règles!$C$12+G276+H276</f>
        <v>53.8</v>
      </c>
      <c r="J276" s="29" t="n">
        <v>0.316</v>
      </c>
      <c r="K276" s="29" t="n">
        <v>0.202</v>
      </c>
      <c r="L276" s="29" t="n">
        <v>0.482</v>
      </c>
      <c r="M276" s="30" t="n">
        <v>0.972</v>
      </c>
    </row>
    <row r="277" customFormat="false" ht="15" hidden="false" customHeight="true" outlineLevel="0" collapsed="false">
      <c r="A277" s="3" t="n">
        <v>276</v>
      </c>
      <c r="B277" s="4" t="s">
        <v>50</v>
      </c>
      <c r="C277" s="4" t="s">
        <v>23</v>
      </c>
      <c r="D277" s="7" t="s">
        <v>28</v>
      </c>
      <c r="E277" s="4" t="s">
        <v>341</v>
      </c>
      <c r="F277" s="4" t="n">
        <f aca="false">ROUND(INDEX(Règles!$C$5:$C$9,MATCH($D277,Règles!$A$5:$A$9,0))*$M277*$J277*Règles!$C$12,0)</f>
        <v>152</v>
      </c>
      <c r="G277" s="4" t="n">
        <f aca="false">ROUND(INDEX(Règles!$C$5:$C$9,MATCH($D277,Règles!$A$5:$A$9,0))*$M277*$K277,0)</f>
        <v>14</v>
      </c>
      <c r="H277" s="4" t="n">
        <f aca="false">ROUND(INDEX(Règles!$C$5:$C$9,MATCH($D277,Règles!$A$5:$A$9,0))*$M277*$L277,0)</f>
        <v>11</v>
      </c>
      <c r="I277" s="28" t="n">
        <f aca="false">F277/Règles!$C$12+G277+H277</f>
        <v>55.4</v>
      </c>
      <c r="J277" s="29" t="n">
        <v>0.549</v>
      </c>
      <c r="K277" s="29" t="n">
        <v>0.253</v>
      </c>
      <c r="L277" s="29" t="n">
        <v>0.198</v>
      </c>
      <c r="M277" s="30" t="n">
        <v>1.01</v>
      </c>
    </row>
    <row r="278" customFormat="false" ht="15" hidden="false" customHeight="true" outlineLevel="0" collapsed="false">
      <c r="A278" s="3" t="n">
        <v>277</v>
      </c>
      <c r="B278" s="4" t="s">
        <v>52</v>
      </c>
      <c r="C278" s="4" t="s">
        <v>23</v>
      </c>
      <c r="D278" s="7" t="s">
        <v>28</v>
      </c>
      <c r="E278" s="4" t="s">
        <v>338</v>
      </c>
      <c r="F278" s="4" t="n">
        <f aca="false">ROUND(INDEX(Règles!$C$5:$C$9,MATCH($D278,Règles!$A$5:$A$9,0))*$M278*$J278*Règles!$C$12,0)</f>
        <v>84</v>
      </c>
      <c r="G278" s="4" t="n">
        <f aca="false">ROUND(INDEX(Règles!$C$5:$C$9,MATCH($D278,Règles!$A$5:$A$9,0))*$M278*$K278,0)</f>
        <v>18</v>
      </c>
      <c r="H278" s="4" t="n">
        <f aca="false">ROUND(INDEX(Règles!$C$5:$C$9,MATCH($D278,Règles!$A$5:$A$9,0))*$M278*$L278,0)</f>
        <v>19</v>
      </c>
      <c r="I278" s="28" t="n">
        <f aca="false">F278/Règles!$C$12+G278+H278</f>
        <v>53.8</v>
      </c>
      <c r="J278" s="29" t="n">
        <v>0.31</v>
      </c>
      <c r="K278" s="29" t="n">
        <v>0.343</v>
      </c>
      <c r="L278" s="29" t="n">
        <v>0.347</v>
      </c>
      <c r="M278" s="30" t="n">
        <v>0.98</v>
      </c>
    </row>
    <row r="279" customFormat="false" ht="15" hidden="false" customHeight="true" outlineLevel="0" collapsed="false">
      <c r="A279" s="3" t="n">
        <v>278</v>
      </c>
      <c r="B279" s="4" t="s">
        <v>35</v>
      </c>
      <c r="C279" s="4" t="s">
        <v>9</v>
      </c>
      <c r="D279" s="7" t="s">
        <v>28</v>
      </c>
      <c r="E279" s="4" t="s">
        <v>339</v>
      </c>
      <c r="F279" s="4" t="n">
        <f aca="false">ROUND(INDEX(Règles!$C$5:$C$9,MATCH($D279,Règles!$A$5:$A$9,0))*$M279*$J279*Règles!$C$12,0)</f>
        <v>61</v>
      </c>
      <c r="G279" s="4" t="n">
        <f aca="false">ROUND(INDEX(Règles!$C$5:$C$9,MATCH($D279,Règles!$A$5:$A$9,0))*$M279*$K279,0)</f>
        <v>28</v>
      </c>
      <c r="H279" s="4" t="n">
        <f aca="false">ROUND(INDEX(Règles!$C$5:$C$9,MATCH($D279,Règles!$A$5:$A$9,0))*$M279*$L279,0)</f>
        <v>15</v>
      </c>
      <c r="I279" s="28" t="n">
        <f aca="false">F279/Règles!$C$12+G279+H279</f>
        <v>55.2</v>
      </c>
      <c r="J279" s="29" t="n">
        <v>0.221</v>
      </c>
      <c r="K279" s="29" t="n">
        <v>0.501</v>
      </c>
      <c r="L279" s="29" t="n">
        <v>0.278</v>
      </c>
      <c r="M279" s="30" t="n">
        <v>1.008</v>
      </c>
    </row>
    <row r="280" customFormat="false" ht="15" hidden="false" customHeight="true" outlineLevel="0" collapsed="false">
      <c r="A280" s="3" t="n">
        <v>279</v>
      </c>
      <c r="B280" s="4" t="s">
        <v>31</v>
      </c>
      <c r="C280" s="4" t="s">
        <v>9</v>
      </c>
      <c r="D280" s="7" t="s">
        <v>28</v>
      </c>
      <c r="E280" s="4" t="s">
        <v>340</v>
      </c>
      <c r="F280" s="4" t="n">
        <f aca="false">ROUND(INDEX(Règles!$C$5:$C$9,MATCH($D280,Règles!$A$5:$A$9,0))*$M280*$J280*Règles!$C$12,0)</f>
        <v>86</v>
      </c>
      <c r="G280" s="4" t="n">
        <f aca="false">ROUND(INDEX(Règles!$C$5:$C$9,MATCH($D280,Règles!$A$5:$A$9,0))*$M280*$K280,0)</f>
        <v>12</v>
      </c>
      <c r="H280" s="4" t="n">
        <f aca="false">ROUND(INDEX(Règles!$C$5:$C$9,MATCH($D280,Règles!$A$5:$A$9,0))*$M280*$L280,0)</f>
        <v>26</v>
      </c>
      <c r="I280" s="28" t="n">
        <f aca="false">F280/Règles!$C$12+G280+H280</f>
        <v>55.2</v>
      </c>
      <c r="J280" s="29" t="n">
        <v>0.311</v>
      </c>
      <c r="K280" s="29" t="n">
        <v>0.222</v>
      </c>
      <c r="L280" s="29" t="n">
        <v>0.467</v>
      </c>
      <c r="M280" s="30" t="n">
        <v>1.007</v>
      </c>
    </row>
    <row r="281" customFormat="false" ht="15" hidden="false" customHeight="true" outlineLevel="0" collapsed="false">
      <c r="A281" s="3" t="n">
        <v>280</v>
      </c>
      <c r="B281" s="4" t="s">
        <v>32</v>
      </c>
      <c r="C281" s="4" t="s">
        <v>9</v>
      </c>
      <c r="D281" s="7" t="s">
        <v>28</v>
      </c>
      <c r="E281" s="4" t="s">
        <v>341</v>
      </c>
      <c r="F281" s="4" t="n">
        <f aca="false">ROUND(INDEX(Règles!$C$5:$C$9,MATCH($D281,Règles!$A$5:$A$9,0))*$M281*$J281*Règles!$C$12,0)</f>
        <v>149</v>
      </c>
      <c r="G281" s="4" t="n">
        <f aca="false">ROUND(INDEX(Règles!$C$5:$C$9,MATCH($D281,Règles!$A$5:$A$9,0))*$M281*$K281,0)</f>
        <v>13</v>
      </c>
      <c r="H281" s="4" t="n">
        <f aca="false">ROUND(INDEX(Règles!$C$5:$C$9,MATCH($D281,Règles!$A$5:$A$9,0))*$M281*$L281,0)</f>
        <v>11</v>
      </c>
      <c r="I281" s="28" t="n">
        <f aca="false">F281/Règles!$C$12+G281+H281</f>
        <v>53.8</v>
      </c>
      <c r="J281" s="29" t="n">
        <v>0.554</v>
      </c>
      <c r="K281" s="29" t="n">
        <v>0.239</v>
      </c>
      <c r="L281" s="29" t="n">
        <v>0.207</v>
      </c>
      <c r="M281" s="30" t="n">
        <v>0.979</v>
      </c>
    </row>
    <row r="282" customFormat="false" ht="15" hidden="false" customHeight="true" outlineLevel="0" collapsed="false">
      <c r="A282" s="3" t="n">
        <v>281</v>
      </c>
      <c r="B282" s="4" t="s">
        <v>49</v>
      </c>
      <c r="C282" s="4" t="s">
        <v>23</v>
      </c>
      <c r="D282" s="7" t="s">
        <v>28</v>
      </c>
      <c r="E282" s="4" t="s">
        <v>338</v>
      </c>
      <c r="F282" s="4" t="n">
        <f aca="false">ROUND(INDEX(Règles!$C$5:$C$9,MATCH($D282,Règles!$A$5:$A$9,0))*$M282*$J282*Règles!$C$12,0)</f>
        <v>91</v>
      </c>
      <c r="G282" s="4" t="n">
        <f aca="false">ROUND(INDEX(Règles!$C$5:$C$9,MATCH($D282,Règles!$A$5:$A$9,0))*$M282*$K282,0)</f>
        <v>18</v>
      </c>
      <c r="H282" s="4" t="n">
        <f aca="false">ROUND(INDEX(Règles!$C$5:$C$9,MATCH($D282,Règles!$A$5:$A$9,0))*$M282*$L282,0)</f>
        <v>18</v>
      </c>
      <c r="I282" s="28" t="n">
        <f aca="false">F282/Règles!$C$12+G282+H282</f>
        <v>54.2</v>
      </c>
      <c r="J282" s="29" t="n">
        <v>0.337</v>
      </c>
      <c r="K282" s="29" t="n">
        <v>0.329</v>
      </c>
      <c r="L282" s="29" t="n">
        <v>0.334</v>
      </c>
      <c r="M282" s="30" t="n">
        <v>0.987</v>
      </c>
    </row>
    <row r="283" customFormat="false" ht="15" hidden="false" customHeight="true" outlineLevel="0" collapsed="false">
      <c r="A283" s="3" t="n">
        <v>282</v>
      </c>
      <c r="B283" s="4" t="s">
        <v>43</v>
      </c>
      <c r="C283" s="4" t="s">
        <v>9</v>
      </c>
      <c r="D283" s="7" t="s">
        <v>28</v>
      </c>
      <c r="E283" s="4" t="s">
        <v>339</v>
      </c>
      <c r="F283" s="4" t="n">
        <f aca="false">ROUND(INDEX(Règles!$C$5:$C$9,MATCH($D283,Règles!$A$5:$A$9,0))*$M283*$J283*Règles!$C$12,0)</f>
        <v>67</v>
      </c>
      <c r="G283" s="4" t="n">
        <f aca="false">ROUND(INDEX(Règles!$C$5:$C$9,MATCH($D283,Règles!$A$5:$A$9,0))*$M283*$K283,0)</f>
        <v>27</v>
      </c>
      <c r="H283" s="4" t="n">
        <f aca="false">ROUND(INDEX(Règles!$C$5:$C$9,MATCH($D283,Règles!$A$5:$A$9,0))*$M283*$L283,0)</f>
        <v>14</v>
      </c>
      <c r="I283" s="28" t="n">
        <f aca="false">F283/Règles!$C$12+G283+H283</f>
        <v>54.4</v>
      </c>
      <c r="J283" s="29" t="n">
        <v>0.246</v>
      </c>
      <c r="K283" s="29" t="n">
        <v>0.495</v>
      </c>
      <c r="L283" s="29" t="n">
        <v>0.259</v>
      </c>
      <c r="M283" s="30" t="n">
        <v>0.996</v>
      </c>
    </row>
    <row r="284" customFormat="false" ht="15" hidden="false" customHeight="true" outlineLevel="0" collapsed="false">
      <c r="A284" s="3" t="n">
        <v>283</v>
      </c>
      <c r="B284" s="4" t="s">
        <v>45</v>
      </c>
      <c r="C284" s="4" t="s">
        <v>9</v>
      </c>
      <c r="D284" s="7" t="s">
        <v>28</v>
      </c>
      <c r="E284" s="4" t="s">
        <v>340</v>
      </c>
      <c r="F284" s="4" t="n">
        <f aca="false">ROUND(INDEX(Règles!$C$5:$C$9,MATCH($D284,Règles!$A$5:$A$9,0))*$M284*$J284*Règles!$C$12,0)</f>
        <v>80</v>
      </c>
      <c r="G284" s="4" t="n">
        <f aca="false">ROUND(INDEX(Règles!$C$5:$C$9,MATCH($D284,Règles!$A$5:$A$9,0))*$M284*$K284,0)</f>
        <v>12</v>
      </c>
      <c r="H284" s="4" t="n">
        <f aca="false">ROUND(INDEX(Règles!$C$5:$C$9,MATCH($D284,Règles!$A$5:$A$9,0))*$M284*$L284,0)</f>
        <v>26</v>
      </c>
      <c r="I284" s="28" t="n">
        <f aca="false">F284/Règles!$C$12+G284+H284</f>
        <v>54</v>
      </c>
      <c r="J284" s="29" t="n">
        <v>0.296</v>
      </c>
      <c r="K284" s="29" t="n">
        <v>0.218</v>
      </c>
      <c r="L284" s="29" t="n">
        <v>0.486</v>
      </c>
      <c r="M284" s="30" t="n">
        <v>0.98</v>
      </c>
    </row>
    <row r="285" customFormat="false" ht="15" hidden="false" customHeight="true" outlineLevel="0" collapsed="false">
      <c r="A285" s="3" t="n">
        <v>284</v>
      </c>
      <c r="B285" s="4" t="s">
        <v>55</v>
      </c>
      <c r="C285" s="4" t="s">
        <v>23</v>
      </c>
      <c r="D285" s="7" t="s">
        <v>28</v>
      </c>
      <c r="E285" s="4" t="s">
        <v>341</v>
      </c>
      <c r="F285" s="4" t="n">
        <f aca="false">ROUND(INDEX(Règles!$C$5:$C$9,MATCH($D285,Règles!$A$5:$A$9,0))*$M285*$J285*Règles!$C$12,0)</f>
        <v>149</v>
      </c>
      <c r="G285" s="4" t="n">
        <f aca="false">ROUND(INDEX(Règles!$C$5:$C$9,MATCH($D285,Règles!$A$5:$A$9,0))*$M285*$K285,0)</f>
        <v>14</v>
      </c>
      <c r="H285" s="4" t="n">
        <f aca="false">ROUND(INDEX(Règles!$C$5:$C$9,MATCH($D285,Règles!$A$5:$A$9,0))*$M285*$L285,0)</f>
        <v>11</v>
      </c>
      <c r="I285" s="28" t="n">
        <f aca="false">F285/Règles!$C$12+G285+H285</f>
        <v>54.8</v>
      </c>
      <c r="J285" s="29" t="n">
        <v>0.545</v>
      </c>
      <c r="K285" s="29" t="n">
        <v>0.252</v>
      </c>
      <c r="L285" s="29" t="n">
        <v>0.203</v>
      </c>
      <c r="M285" s="30" t="n">
        <v>0.996</v>
      </c>
    </row>
    <row r="286" customFormat="false" ht="15" hidden="false" customHeight="true" outlineLevel="0" collapsed="false">
      <c r="A286" s="3" t="n">
        <v>285</v>
      </c>
      <c r="B286" s="4" t="s">
        <v>41</v>
      </c>
      <c r="C286" s="4" t="s">
        <v>9</v>
      </c>
      <c r="D286" s="7" t="s">
        <v>28</v>
      </c>
      <c r="E286" s="4" t="s">
        <v>338</v>
      </c>
      <c r="F286" s="4" t="n">
        <f aca="false">ROUND(INDEX(Règles!$C$5:$C$9,MATCH($D286,Règles!$A$5:$A$9,0))*$M286*$J286*Règles!$C$12,0)</f>
        <v>99</v>
      </c>
      <c r="G286" s="4" t="n">
        <f aca="false">ROUND(INDEX(Règles!$C$5:$C$9,MATCH($D286,Règles!$A$5:$A$9,0))*$M286*$K286,0)</f>
        <v>17</v>
      </c>
      <c r="H286" s="4" t="n">
        <f aca="false">ROUND(INDEX(Règles!$C$5:$C$9,MATCH($D286,Règles!$A$5:$A$9,0))*$M286*$L286,0)</f>
        <v>17</v>
      </c>
      <c r="I286" s="28" t="n">
        <f aca="false">F286/Règles!$C$12+G286+H286</f>
        <v>53.8</v>
      </c>
      <c r="J286" s="29" t="n">
        <v>0.362</v>
      </c>
      <c r="K286" s="29" t="n">
        <v>0.319</v>
      </c>
      <c r="L286" s="29" t="n">
        <v>0.319</v>
      </c>
      <c r="M286" s="30" t="n">
        <v>0.992</v>
      </c>
    </row>
    <row r="287" customFormat="false" ht="15" hidden="false" customHeight="true" outlineLevel="0" collapsed="false">
      <c r="A287" s="3" t="n">
        <v>286</v>
      </c>
      <c r="B287" s="4" t="s">
        <v>37</v>
      </c>
      <c r="C287" s="4" t="s">
        <v>9</v>
      </c>
      <c r="D287" s="7" t="s">
        <v>28</v>
      </c>
      <c r="E287" s="4" t="s">
        <v>339</v>
      </c>
      <c r="F287" s="4" t="n">
        <f aca="false">ROUND(INDEX(Règles!$C$5:$C$9,MATCH($D287,Règles!$A$5:$A$9,0))*$M287*$J287*Règles!$C$12,0)</f>
        <v>71</v>
      </c>
      <c r="G287" s="4" t="n">
        <f aca="false">ROUND(INDEX(Règles!$C$5:$C$9,MATCH($D287,Règles!$A$5:$A$9,0))*$M287*$K287,0)</f>
        <v>27</v>
      </c>
      <c r="H287" s="4" t="n">
        <f aca="false">ROUND(INDEX(Règles!$C$5:$C$9,MATCH($D287,Règles!$A$5:$A$9,0))*$M287*$L287,0)</f>
        <v>14</v>
      </c>
      <c r="I287" s="28" t="n">
        <f aca="false">F287/Règles!$C$12+G287+H287</f>
        <v>55.2</v>
      </c>
      <c r="J287" s="29" t="n">
        <v>0.261</v>
      </c>
      <c r="K287" s="29" t="n">
        <v>0.49</v>
      </c>
      <c r="L287" s="29" t="n">
        <v>0.249</v>
      </c>
      <c r="M287" s="30" t="n">
        <v>0.987</v>
      </c>
    </row>
    <row r="288" customFormat="false" ht="15" hidden="false" customHeight="true" outlineLevel="0" collapsed="false">
      <c r="A288" s="3" t="n">
        <v>287</v>
      </c>
      <c r="B288" s="4" t="s">
        <v>53</v>
      </c>
      <c r="C288" s="4" t="s">
        <v>23</v>
      </c>
      <c r="D288" s="7" t="s">
        <v>28</v>
      </c>
      <c r="E288" s="4" t="s">
        <v>340</v>
      </c>
      <c r="F288" s="4" t="n">
        <f aca="false">ROUND(INDEX(Règles!$C$5:$C$9,MATCH($D288,Règles!$A$5:$A$9,0))*$M288*$J288*Règles!$C$12,0)</f>
        <v>78</v>
      </c>
      <c r="G288" s="4" t="n">
        <f aca="false">ROUND(INDEX(Règles!$C$5:$C$9,MATCH($D288,Règles!$A$5:$A$9,0))*$M288*$K288,0)</f>
        <v>11</v>
      </c>
      <c r="H288" s="4" t="n">
        <f aca="false">ROUND(INDEX(Règles!$C$5:$C$9,MATCH($D288,Règles!$A$5:$A$9,0))*$M288*$L288,0)</f>
        <v>28</v>
      </c>
      <c r="I288" s="28" t="n">
        <f aca="false">F288/Règles!$C$12+G288+H288</f>
        <v>54.6</v>
      </c>
      <c r="J288" s="29" t="n">
        <v>0.284</v>
      </c>
      <c r="K288" s="29" t="n">
        <v>0.209</v>
      </c>
      <c r="L288" s="29" t="n">
        <v>0.507</v>
      </c>
      <c r="M288" s="30" t="n">
        <v>0.994</v>
      </c>
    </row>
    <row r="289" customFormat="false" ht="15" hidden="false" customHeight="true" outlineLevel="0" collapsed="false">
      <c r="A289" s="3" t="n">
        <v>288</v>
      </c>
      <c r="B289" s="4" t="s">
        <v>40</v>
      </c>
      <c r="C289" s="4" t="s">
        <v>9</v>
      </c>
      <c r="D289" s="7" t="s">
        <v>28</v>
      </c>
      <c r="E289" s="4" t="s">
        <v>341</v>
      </c>
      <c r="F289" s="4" t="n">
        <f aca="false">ROUND(INDEX(Règles!$C$5:$C$9,MATCH($D289,Règles!$A$5:$A$9,0))*$M289*$J289*Règles!$C$12,0)</f>
        <v>153</v>
      </c>
      <c r="G289" s="4" t="n">
        <f aca="false">ROUND(INDEX(Règles!$C$5:$C$9,MATCH($D289,Règles!$A$5:$A$9,0))*$M289*$K289,0)</f>
        <v>14</v>
      </c>
      <c r="H289" s="4" t="n">
        <f aca="false">ROUND(INDEX(Règles!$C$5:$C$9,MATCH($D289,Règles!$A$5:$A$9,0))*$M289*$L289,0)</f>
        <v>10</v>
      </c>
      <c r="I289" s="28" t="n">
        <f aca="false">F289/Règles!$C$12+G289+H289</f>
        <v>54.6</v>
      </c>
      <c r="J289" s="29" t="n">
        <v>0.556</v>
      </c>
      <c r="K289" s="29" t="n">
        <v>0.254</v>
      </c>
      <c r="L289" s="29" t="n">
        <v>0.19</v>
      </c>
      <c r="M289" s="30" t="n">
        <v>1.002</v>
      </c>
    </row>
    <row r="290" customFormat="false" ht="15" hidden="false" customHeight="true" outlineLevel="0" collapsed="false">
      <c r="A290" s="3" t="n">
        <v>289</v>
      </c>
      <c r="B290" s="4" t="s">
        <v>15</v>
      </c>
      <c r="C290" s="4" t="s">
        <v>9</v>
      </c>
      <c r="D290" s="5" t="s">
        <v>10</v>
      </c>
      <c r="E290" s="4" t="s">
        <v>338</v>
      </c>
      <c r="F290" s="4" t="n">
        <f aca="false">ROUND(INDEX(Règles!$C$5:$C$9,MATCH($D290,Règles!$A$5:$A$9,0))*$M290*$J290*Règles!$C$12,0)</f>
        <v>118</v>
      </c>
      <c r="G290" s="4" t="n">
        <f aca="false">ROUND(INDEX(Règles!$C$5:$C$9,MATCH($D290,Règles!$A$5:$A$9,0))*$M290*$K290,0)</f>
        <v>25</v>
      </c>
      <c r="H290" s="4" t="n">
        <f aca="false">ROUND(INDEX(Règles!$C$5:$C$9,MATCH($D290,Règles!$A$5:$A$9,0))*$M290*$L290,0)</f>
        <v>21</v>
      </c>
      <c r="I290" s="28" t="n">
        <f aca="false">F290/Règles!$C$12+G290+H290</f>
        <v>69.6</v>
      </c>
      <c r="J290" s="29" t="n">
        <v>0.338</v>
      </c>
      <c r="K290" s="29" t="n">
        <v>0.354</v>
      </c>
      <c r="L290" s="29" t="n">
        <v>0.308</v>
      </c>
      <c r="M290" s="30" t="n">
        <v>1.023</v>
      </c>
    </row>
    <row r="291" customFormat="false" ht="15" hidden="false" customHeight="true" outlineLevel="0" collapsed="false">
      <c r="A291" s="3" t="n">
        <v>290</v>
      </c>
      <c r="B291" s="4" t="s">
        <v>18</v>
      </c>
      <c r="C291" s="4" t="s">
        <v>9</v>
      </c>
      <c r="D291" s="5" t="s">
        <v>10</v>
      </c>
      <c r="E291" s="4" t="s">
        <v>339</v>
      </c>
      <c r="F291" s="4" t="n">
        <f aca="false">ROUND(INDEX(Règles!$C$5:$C$9,MATCH($D291,Règles!$A$5:$A$9,0))*$M291*$J291*Règles!$C$12,0)</f>
        <v>89</v>
      </c>
      <c r="G291" s="4" t="n">
        <f aca="false">ROUND(INDEX(Règles!$C$5:$C$9,MATCH($D291,Règles!$A$5:$A$9,0))*$M291*$K291,0)</f>
        <v>34</v>
      </c>
      <c r="H291" s="4" t="n">
        <f aca="false">ROUND(INDEX(Règles!$C$5:$C$9,MATCH($D291,Règles!$A$5:$A$9,0))*$M291*$L291,0)</f>
        <v>18</v>
      </c>
      <c r="I291" s="28" t="n">
        <f aca="false">F291/Règles!$C$12+G291+H291</f>
        <v>69.8</v>
      </c>
      <c r="J291" s="29" t="n">
        <v>0.254</v>
      </c>
      <c r="K291" s="29" t="n">
        <v>0.488</v>
      </c>
      <c r="L291" s="29" t="n">
        <v>0.258</v>
      </c>
      <c r="M291" s="30" t="n">
        <v>1.028</v>
      </c>
    </row>
    <row r="292" customFormat="false" ht="15" hidden="false" customHeight="true" outlineLevel="0" collapsed="false">
      <c r="A292" s="3" t="n">
        <v>291</v>
      </c>
      <c r="B292" s="4" t="s">
        <v>8</v>
      </c>
      <c r="C292" s="4" t="s">
        <v>9</v>
      </c>
      <c r="D292" s="5" t="s">
        <v>10</v>
      </c>
      <c r="E292" s="4" t="s">
        <v>340</v>
      </c>
      <c r="F292" s="4" t="n">
        <f aca="false">ROUND(INDEX(Règles!$C$5:$C$9,MATCH($D292,Règles!$A$5:$A$9,0))*$M292*$J292*Règles!$C$12,0)</f>
        <v>98</v>
      </c>
      <c r="G292" s="4" t="n">
        <f aca="false">ROUND(INDEX(Règles!$C$5:$C$9,MATCH($D292,Règles!$A$5:$A$9,0))*$M292*$K292,0)</f>
        <v>16</v>
      </c>
      <c r="H292" s="4" t="n">
        <f aca="false">ROUND(INDEX(Règles!$C$5:$C$9,MATCH($D292,Règles!$A$5:$A$9,0))*$M292*$L292,0)</f>
        <v>34</v>
      </c>
      <c r="I292" s="28" t="n">
        <f aca="false">F292/Règles!$C$12+G292+H292</f>
        <v>69.6</v>
      </c>
      <c r="J292" s="29" t="n">
        <v>0.281</v>
      </c>
      <c r="K292" s="29" t="n">
        <v>0.226</v>
      </c>
      <c r="L292" s="29" t="n">
        <v>0.493</v>
      </c>
      <c r="M292" s="30" t="n">
        <v>1.026</v>
      </c>
    </row>
    <row r="293" customFormat="false" ht="15" hidden="false" customHeight="true" outlineLevel="0" collapsed="false">
      <c r="A293" s="3" t="n">
        <v>292</v>
      </c>
      <c r="B293" s="4" t="s">
        <v>17</v>
      </c>
      <c r="C293" s="4" t="s">
        <v>9</v>
      </c>
      <c r="D293" s="5" t="s">
        <v>10</v>
      </c>
      <c r="E293" s="4" t="s">
        <v>341</v>
      </c>
      <c r="F293" s="4" t="n">
        <f aca="false">ROUND(INDEX(Règles!$C$5:$C$9,MATCH($D293,Règles!$A$5:$A$9,0))*$M293*$J293*Règles!$C$12,0)</f>
        <v>179</v>
      </c>
      <c r="G293" s="4" t="n">
        <f aca="false">ROUND(INDEX(Règles!$C$5:$C$9,MATCH($D293,Règles!$A$5:$A$9,0))*$M293*$K293,0)</f>
        <v>18</v>
      </c>
      <c r="H293" s="4" t="n">
        <f aca="false">ROUND(INDEX(Règles!$C$5:$C$9,MATCH($D293,Règles!$A$5:$A$9,0))*$M293*$L293,0)</f>
        <v>15</v>
      </c>
      <c r="I293" s="28" t="n">
        <f aca="false">F293/Règles!$C$12+G293+H293</f>
        <v>68.8</v>
      </c>
      <c r="J293" s="29" t="n">
        <v>0.521</v>
      </c>
      <c r="K293" s="29" t="n">
        <v>0.258</v>
      </c>
      <c r="L293" s="29" t="n">
        <v>0.221</v>
      </c>
      <c r="M293" s="30" t="n">
        <v>1.01</v>
      </c>
    </row>
    <row r="294" customFormat="false" ht="15" hidden="false" customHeight="true" outlineLevel="0" collapsed="false">
      <c r="A294" s="3" t="n">
        <v>293</v>
      </c>
      <c r="B294" s="4" t="s">
        <v>14</v>
      </c>
      <c r="C294" s="4" t="s">
        <v>9</v>
      </c>
      <c r="D294" s="5" t="s">
        <v>10</v>
      </c>
      <c r="E294" s="4" t="s">
        <v>338</v>
      </c>
      <c r="F294" s="4" t="n">
        <f aca="false">ROUND(INDEX(Règles!$C$5:$C$9,MATCH($D294,Règles!$A$5:$A$9,0))*$M294*$J294*Règles!$C$12,0)</f>
        <v>117</v>
      </c>
      <c r="G294" s="4" t="n">
        <f aca="false">ROUND(INDEX(Règles!$C$5:$C$9,MATCH($D294,Règles!$A$5:$A$9,0))*$M294*$K294,0)</f>
        <v>23</v>
      </c>
      <c r="H294" s="4" t="n">
        <f aca="false">ROUND(INDEX(Règles!$C$5:$C$9,MATCH($D294,Règles!$A$5:$A$9,0))*$M294*$L294,0)</f>
        <v>22</v>
      </c>
      <c r="I294" s="28" t="n">
        <f aca="false">F294/Règles!$C$12+G294+H294</f>
        <v>68.4</v>
      </c>
      <c r="J294" s="29" t="n">
        <v>0.343</v>
      </c>
      <c r="K294" s="29" t="n">
        <v>0.34</v>
      </c>
      <c r="L294" s="29" t="n">
        <v>0.317</v>
      </c>
      <c r="M294" s="30" t="n">
        <v>1.007</v>
      </c>
    </row>
    <row r="295" customFormat="false" ht="15" hidden="false" customHeight="true" outlineLevel="0" collapsed="false">
      <c r="A295" s="3" t="n">
        <v>294</v>
      </c>
      <c r="B295" s="4" t="s">
        <v>25</v>
      </c>
      <c r="C295" s="4" t="s">
        <v>23</v>
      </c>
      <c r="D295" s="5" t="s">
        <v>10</v>
      </c>
      <c r="E295" s="4" t="s">
        <v>339</v>
      </c>
      <c r="F295" s="4" t="n">
        <f aca="false">ROUND(INDEX(Règles!$C$5:$C$9,MATCH($D295,Règles!$A$5:$A$9,0))*$M295*$J295*Règles!$C$12,0)</f>
        <v>82</v>
      </c>
      <c r="G295" s="4" t="n">
        <f aca="false">ROUND(INDEX(Règles!$C$5:$C$9,MATCH($D295,Règles!$A$5:$A$9,0))*$M295*$K295,0)</f>
        <v>36</v>
      </c>
      <c r="H295" s="4" t="n">
        <f aca="false">ROUND(INDEX(Règles!$C$5:$C$9,MATCH($D295,Règles!$A$5:$A$9,0))*$M295*$L295,0)</f>
        <v>18</v>
      </c>
      <c r="I295" s="28" t="n">
        <f aca="false">F295/Règles!$C$12+G295+H295</f>
        <v>70.4</v>
      </c>
      <c r="J295" s="29" t="n">
        <v>0.235</v>
      </c>
      <c r="K295" s="29" t="n">
        <v>0.513</v>
      </c>
      <c r="L295" s="29" t="n">
        <v>0.252</v>
      </c>
      <c r="M295" s="30" t="n">
        <v>1.027</v>
      </c>
    </row>
    <row r="296" customFormat="false" ht="15" hidden="false" customHeight="true" outlineLevel="0" collapsed="false">
      <c r="A296" s="3" t="n">
        <v>295</v>
      </c>
      <c r="B296" s="4" t="s">
        <v>21</v>
      </c>
      <c r="C296" s="4" t="s">
        <v>9</v>
      </c>
      <c r="D296" s="5" t="s">
        <v>10</v>
      </c>
      <c r="E296" s="4" t="s">
        <v>340</v>
      </c>
      <c r="F296" s="4" t="n">
        <f aca="false">ROUND(INDEX(Règles!$C$5:$C$9,MATCH($D296,Règles!$A$5:$A$9,0))*$M296*$J296*Règles!$C$12,0)</f>
        <v>102</v>
      </c>
      <c r="G296" s="4" t="n">
        <f aca="false">ROUND(INDEX(Règles!$C$5:$C$9,MATCH($D296,Règles!$A$5:$A$9,0))*$M296*$K296,0)</f>
        <v>14</v>
      </c>
      <c r="H296" s="4" t="n">
        <f aca="false">ROUND(INDEX(Règles!$C$5:$C$9,MATCH($D296,Règles!$A$5:$A$9,0))*$M296*$L296,0)</f>
        <v>34</v>
      </c>
      <c r="I296" s="28" t="n">
        <f aca="false">F296/Règles!$C$12+G296+H296</f>
        <v>68.4</v>
      </c>
      <c r="J296" s="29" t="n">
        <v>0.3</v>
      </c>
      <c r="K296" s="29" t="n">
        <v>0.2</v>
      </c>
      <c r="L296" s="29" t="n">
        <v>0.5</v>
      </c>
      <c r="M296" s="30" t="n">
        <v>0.999</v>
      </c>
    </row>
    <row r="297" customFormat="false" ht="15" hidden="false" customHeight="true" outlineLevel="0" collapsed="false">
      <c r="A297" s="3" t="n">
        <v>296</v>
      </c>
      <c r="B297" s="4" t="s">
        <v>22</v>
      </c>
      <c r="C297" s="4" t="s">
        <v>23</v>
      </c>
      <c r="D297" s="5" t="s">
        <v>10</v>
      </c>
      <c r="E297" s="4" t="s">
        <v>341</v>
      </c>
      <c r="F297" s="4" t="n">
        <f aca="false">ROUND(INDEX(Règles!$C$5:$C$9,MATCH($D297,Règles!$A$5:$A$9,0))*$M297*$J297*Règles!$C$12,0)</f>
        <v>197</v>
      </c>
      <c r="G297" s="4" t="n">
        <f aca="false">ROUND(INDEX(Règles!$C$5:$C$9,MATCH($D297,Règles!$A$5:$A$9,0))*$M297*$K297,0)</f>
        <v>17</v>
      </c>
      <c r="H297" s="4" t="n">
        <f aca="false">ROUND(INDEX(Règles!$C$5:$C$9,MATCH($D297,Règles!$A$5:$A$9,0))*$M297*$L297,0)</f>
        <v>13</v>
      </c>
      <c r="I297" s="28" t="n">
        <f aca="false">F297/Règles!$C$12+G297+H297</f>
        <v>69.4</v>
      </c>
      <c r="J297" s="29" t="n">
        <v>0.566</v>
      </c>
      <c r="K297" s="29" t="n">
        <v>0.247</v>
      </c>
      <c r="L297" s="29" t="n">
        <v>0.187</v>
      </c>
      <c r="M297" s="30" t="n">
        <v>1.022</v>
      </c>
    </row>
    <row r="298" customFormat="false" ht="15" hidden="false" customHeight="true" outlineLevel="0" collapsed="false">
      <c r="A298" s="3" t="n">
        <v>297</v>
      </c>
      <c r="B298" s="4" t="s">
        <v>19</v>
      </c>
      <c r="C298" s="4" t="s">
        <v>9</v>
      </c>
      <c r="D298" s="5" t="s">
        <v>10</v>
      </c>
      <c r="E298" s="4" t="s">
        <v>338</v>
      </c>
      <c r="F298" s="4" t="n">
        <f aca="false">ROUND(INDEX(Règles!$C$5:$C$9,MATCH($D298,Règles!$A$5:$A$9,0))*$M298*$J298*Règles!$C$12,0)</f>
        <v>107</v>
      </c>
      <c r="G298" s="4" t="n">
        <f aca="false">ROUND(INDEX(Règles!$C$5:$C$9,MATCH($D298,Règles!$A$5:$A$9,0))*$M298*$K298,0)</f>
        <v>22</v>
      </c>
      <c r="H298" s="4" t="n">
        <f aca="false">ROUND(INDEX(Règles!$C$5:$C$9,MATCH($D298,Règles!$A$5:$A$9,0))*$M298*$L298,0)</f>
        <v>24</v>
      </c>
      <c r="I298" s="28" t="n">
        <f aca="false">F298/Règles!$C$12+G298+H298</f>
        <v>67.4</v>
      </c>
      <c r="J298" s="29" t="n">
        <v>0.318</v>
      </c>
      <c r="K298" s="29" t="n">
        <v>0.332</v>
      </c>
      <c r="L298" s="29" t="n">
        <v>0.35</v>
      </c>
      <c r="M298" s="30" t="n">
        <v>0.989</v>
      </c>
    </row>
    <row r="299" customFormat="false" ht="15" hidden="false" customHeight="true" outlineLevel="0" collapsed="false">
      <c r="A299" s="3" t="n">
        <v>298</v>
      </c>
      <c r="B299" s="4" t="s">
        <v>12</v>
      </c>
      <c r="C299" s="4" t="s">
        <v>9</v>
      </c>
      <c r="D299" s="5" t="s">
        <v>10</v>
      </c>
      <c r="E299" s="4" t="s">
        <v>339</v>
      </c>
      <c r="F299" s="4" t="n">
        <f aca="false">ROUND(INDEX(Règles!$C$5:$C$9,MATCH($D299,Règles!$A$5:$A$9,0))*$M299*$J299*Règles!$C$12,0)</f>
        <v>97</v>
      </c>
      <c r="G299" s="4" t="n">
        <f aca="false">ROUND(INDEX(Règles!$C$5:$C$9,MATCH($D299,Règles!$A$5:$A$9,0))*$M299*$K299,0)</f>
        <v>33</v>
      </c>
      <c r="H299" s="4" t="n">
        <f aca="false">ROUND(INDEX(Règles!$C$5:$C$9,MATCH($D299,Règles!$A$5:$A$9,0))*$M299*$L299,0)</f>
        <v>16</v>
      </c>
      <c r="I299" s="28" t="n">
        <f aca="false">F299/Règles!$C$12+G299+H299</f>
        <v>68.4</v>
      </c>
      <c r="J299" s="29" t="n">
        <v>0.282</v>
      </c>
      <c r="K299" s="29" t="n">
        <v>0.478</v>
      </c>
      <c r="L299" s="29" t="n">
        <v>0.24</v>
      </c>
      <c r="M299" s="30" t="n">
        <v>1.007</v>
      </c>
    </row>
    <row r="300" customFormat="false" ht="15" hidden="false" customHeight="true" outlineLevel="0" collapsed="false">
      <c r="A300" s="3" t="n">
        <v>299</v>
      </c>
      <c r="B300" s="4" t="s">
        <v>26</v>
      </c>
      <c r="C300" s="4" t="s">
        <v>23</v>
      </c>
      <c r="D300" s="5" t="s">
        <v>10</v>
      </c>
      <c r="E300" s="4" t="s">
        <v>340</v>
      </c>
      <c r="F300" s="4" t="n">
        <f aca="false">ROUND(INDEX(Règles!$C$5:$C$9,MATCH($D300,Règles!$A$5:$A$9,0))*$M300*$J300*Règles!$C$12,0)</f>
        <v>104</v>
      </c>
      <c r="G300" s="4" t="n">
        <f aca="false">ROUND(INDEX(Règles!$C$5:$C$9,MATCH($D300,Règles!$A$5:$A$9,0))*$M300*$K300,0)</f>
        <v>13</v>
      </c>
      <c r="H300" s="4" t="n">
        <f aca="false">ROUND(INDEX(Règles!$C$5:$C$9,MATCH($D300,Règles!$A$5:$A$9,0))*$M300*$L300,0)</f>
        <v>34</v>
      </c>
      <c r="I300" s="28" t="n">
        <f aca="false">F300/Règles!$C$12+G300+H300</f>
        <v>67.8</v>
      </c>
      <c r="J300" s="29" t="n">
        <v>0.306</v>
      </c>
      <c r="K300" s="29" t="n">
        <v>0.189</v>
      </c>
      <c r="L300" s="29" t="n">
        <v>0.505</v>
      </c>
      <c r="M300" s="30" t="n">
        <v>1.004</v>
      </c>
    </row>
    <row r="301" customFormat="false" ht="15" hidden="false" customHeight="true" outlineLevel="0" collapsed="false">
      <c r="A301" s="3" t="n">
        <v>300</v>
      </c>
      <c r="B301" s="4" t="s">
        <v>24</v>
      </c>
      <c r="C301" s="4" t="s">
        <v>23</v>
      </c>
      <c r="D301" s="5" t="s">
        <v>10</v>
      </c>
      <c r="E301" s="4" t="s">
        <v>341</v>
      </c>
      <c r="F301" s="4" t="n">
        <f aca="false">ROUND(INDEX(Règles!$C$5:$C$9,MATCH($D301,Règles!$A$5:$A$9,0))*$M301*$J301*Règles!$C$12,0)</f>
        <v>185</v>
      </c>
      <c r="G301" s="4" t="n">
        <f aca="false">ROUND(INDEX(Règles!$C$5:$C$9,MATCH($D301,Règles!$A$5:$A$9,0))*$M301*$K301,0)</f>
        <v>17</v>
      </c>
      <c r="H301" s="4" t="n">
        <f aca="false">ROUND(INDEX(Règles!$C$5:$C$9,MATCH($D301,Règles!$A$5:$A$9,0))*$M301*$L301,0)</f>
        <v>13</v>
      </c>
      <c r="I301" s="28" t="n">
        <f aca="false">F301/Règles!$C$12+G301+H301</f>
        <v>67</v>
      </c>
      <c r="J301" s="29" t="n">
        <v>0.55</v>
      </c>
      <c r="K301" s="29" t="n">
        <v>0.257</v>
      </c>
      <c r="L301" s="29" t="n">
        <v>0.193</v>
      </c>
      <c r="M301" s="30" t="n">
        <v>0.99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2026-10-26T00:18:20Z</dcterms:created>
  <dc:creator>openpyxl</dc:creator>
  <dc:description/>
  <dc:language>en-US</dc:language>
  <cp:lastModifiedBy/>
  <dcterms:modified xsi:type="dcterms:W3CDTF">2026-10-26T15:00:11Z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